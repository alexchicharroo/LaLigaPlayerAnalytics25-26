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3m-my.sharepoint.com/personal/100430532_alumnos_uc3m_es/Documents/Alex/PROGRAMAS INFORMATICOS/Proyecto futbolista/"/>
    </mc:Choice>
  </mc:AlternateContent>
  <xr:revisionPtr revIDLastSave="902" documentId="8_{973FC4C1-BC25-48BB-9CD7-8C391E22E2C5}" xr6:coauthVersionLast="47" xr6:coauthVersionMax="47" xr10:uidLastSave="{445089ED-A388-45D3-B136-6410818D40E7}"/>
  <bookViews>
    <workbookView xWindow="-108" yWindow="-108" windowWidth="23256" windowHeight="12456" firstSheet="1" activeTab="4" xr2:uid="{ABF003EA-24A2-4AE3-94D2-B92BE5E56847}"/>
  </bookViews>
  <sheets>
    <sheet name="Perfiles_jugador" sheetId="5" r:id="rId1"/>
    <sheet name="Estadisticas_jugador" sheetId="3" r:id="rId2"/>
    <sheet name="ANALISIS" sheetId="1" r:id="rId3"/>
    <sheet name="Tablas dinámicas" sheetId="6" r:id="rId4"/>
    <sheet name="DASHBOARD" sheetId="7" r:id="rId5"/>
  </sheets>
  <definedNames>
    <definedName name="_xlcn.WorksheetConnection_DATOS.xlsxEstadisticas_jugador1" hidden="1">Estadisticas_jugador[]</definedName>
    <definedName name="_xlcn.WorksheetConnection_DATOS.xlsxPerfiles_jugador1" hidden="1">Perfiles_jugador[]</definedName>
    <definedName name="DatosExternos_1" localSheetId="1" hidden="1">Estadisticas_jugador!$A$1:$S$488</definedName>
    <definedName name="DatosExternos_3" localSheetId="0" hidden="1">Perfiles_jugador!$A$1:$E$531</definedName>
    <definedName name="SegmentaciónDeDatos_position">#N/A</definedName>
  </definedNames>
  <calcPr calcId="191029"/>
  <pivotCaches>
    <pivotCache cacheId="289" r:id="rId6"/>
    <pivotCache cacheId="292" r:id="rId7"/>
    <pivotCache cacheId="295" r:id="rId8"/>
    <pivotCache cacheId="298" r:id="rId9"/>
    <pivotCache cacheId="301" r:id="rId10"/>
    <pivotCache cacheId="304" r:id="rId11"/>
    <pivotCache cacheId="310" r:id="rId12"/>
    <pivotCache cacheId="313" r:id="rId13"/>
  </pivotCaches>
  <extLst>
    <ext xmlns:x14="http://schemas.microsoft.com/office/spreadsheetml/2009/9/main" uri="{876F7934-8845-4945-9796-88D515C7AA90}">
      <x14:pivotCaches>
        <pivotCache cacheId="187" r:id="rId14"/>
      </x14:pivotCaches>
    </ext>
    <ext xmlns:x14="http://schemas.microsoft.com/office/spreadsheetml/2009/9/main" uri="{BBE1A952-AA13-448e-AADC-164F8A28A991}">
      <x14:slicerCaches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erfiles_jugador" name="Perfiles_jugador" connection="WorksheetConnection_DATOS.xlsx!Perfiles_jugador"/>
          <x15:modelTable id="Estadisticas_jugador" name="Estadisticas_jugador" connection="WorksheetConnection_DATOS.xlsx!Estadisticas_jugador"/>
        </x15:modelTables>
        <x15:modelRelationships>
          <x15:modelRelationship fromTable="Estadisticas_jugador" fromColumn="player_id" toTable="Perfiles_jugador" toColumn="play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7" l="1"/>
  <c r="J5" i="7"/>
  <c r="G5" i="7"/>
  <c r="A5" i="7"/>
  <c r="R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C763FB-3AC6-4154-BED6-59262E37C252}" keepAlive="1" name="Consulta - Estadisticas_jugador" description="Conexión a la consulta 'Estadisticas_jugador' en el libro." type="5" refreshedVersion="8" background="1" saveData="1">
    <dbPr connection="Provider=Microsoft.Mashup.OleDb.1;Data Source=$Workbook$;Location=Estadisticas_jugador;Extended Properties=&quot;&quot;" command="SELECT * FROM [Estadisticas_jugador]"/>
  </connection>
  <connection id="2" xr16:uid="{E8AC1D7D-9E74-4706-8C2D-0D72BE667E2A}" keepAlive="1" name="Consulta - Perfiles_jugador(1)" description="Conexión a la consulta 'Perfiles_jugador' en el libro." type="5" refreshedVersion="8" background="1" saveData="1">
    <dbPr connection="Provider=Microsoft.Mashup.OleDb.1;Data Source=$Workbook$;Location=Perfiles_jugador;Extended Properties=&quot;&quot;" command="SELECT * FROM [Perfiles_jugador]"/>
  </connection>
  <connection id="3" xr16:uid="{548D9C54-BC05-4203-9EC7-4D126C3B1332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F137330F-E326-441A-B4E6-87415D16A53D}" name="WorksheetConnection_DATOS.xlsx!Estadisticas_jugador" type="102" refreshedVersion="8" minRefreshableVersion="5">
    <extLst>
      <ext xmlns:x15="http://schemas.microsoft.com/office/spreadsheetml/2010/11/main" uri="{DE250136-89BD-433C-8126-D09CA5730AF9}">
        <x15:connection id="Estadisticas_jugador">
          <x15:rangePr sourceName="_xlcn.WorksheetConnection_DATOS.xlsxEstadisticas_jugador1"/>
        </x15:connection>
      </ext>
    </extLst>
  </connection>
  <connection id="5" xr16:uid="{3F23E4AC-5362-4634-A3FC-216B33002D12}" name="WorksheetConnection_DATOS.xlsx!Perfiles_jugador" type="102" refreshedVersion="8" minRefreshableVersion="5">
    <extLst>
      <ext xmlns:x15="http://schemas.microsoft.com/office/spreadsheetml/2010/11/main" uri="{DE250136-89BD-433C-8126-D09CA5730AF9}">
        <x15:connection id="Perfiles_jugador">
          <x15:rangePr sourceName="_xlcn.WorksheetConnection_DATOS.xlsxPerfiles_jugador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Estadisticas_jugador].[900 min].&amp;[Si]}"/>
    <s v="{[Perfiles_jugador].[position].[All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<sst xmlns="http://schemas.openxmlformats.org/spreadsheetml/2006/main" count="2673" uniqueCount="1073">
  <si>
    <t>player_id</t>
  </si>
  <si>
    <t>name</t>
  </si>
  <si>
    <t>league</t>
  </si>
  <si>
    <t>position</t>
  </si>
  <si>
    <t>market_value</t>
  </si>
  <si>
    <t>Pablo Felipe</t>
  </si>
  <si>
    <t>Robert Lewandowski</t>
  </si>
  <si>
    <t>LaLiga</t>
  </si>
  <si>
    <t>Ferran Torres</t>
  </si>
  <si>
    <t>Roony Bardghji</t>
  </si>
  <si>
    <t>Lamine Yamal</t>
  </si>
  <si>
    <t>Raphinha</t>
  </si>
  <si>
    <t>Pedri</t>
  </si>
  <si>
    <t>Marcus Rashford</t>
  </si>
  <si>
    <t>Pablo Gavi</t>
  </si>
  <si>
    <t>Frenkie de Jong</t>
  </si>
  <si>
    <t>Dani Olmo</t>
  </si>
  <si>
    <t>Fermín López</t>
  </si>
  <si>
    <t>Marc Bernal</t>
  </si>
  <si>
    <t>Marc Casadó</t>
  </si>
  <si>
    <t>Tomás Marqués</t>
  </si>
  <si>
    <t>Pau Cubarsí</t>
  </si>
  <si>
    <t>Jules Koundé</t>
  </si>
  <si>
    <t>Alejandro Balde</t>
  </si>
  <si>
    <t>Ronald Araújo</t>
  </si>
  <si>
    <t>João Cancelo</t>
  </si>
  <si>
    <t>Andreas Christensen</t>
  </si>
  <si>
    <t>Eric García</t>
  </si>
  <si>
    <t>Gerard Martín</t>
  </si>
  <si>
    <t>Xavi Espart</t>
  </si>
  <si>
    <t>Álvaro Cortés</t>
  </si>
  <si>
    <t>Joan García</t>
  </si>
  <si>
    <t>Wojciech Szczęsny</t>
  </si>
  <si>
    <t>Diego Kochen</t>
  </si>
  <si>
    <t>Kylian Mbappé</t>
  </si>
  <si>
    <t>Vinicius Júnior</t>
  </si>
  <si>
    <t>Rodrygo</t>
  </si>
  <si>
    <t>Franco Mastantuono</t>
  </si>
  <si>
    <t>Gonzalo García</t>
  </si>
  <si>
    <t>Jude Bellingham</t>
  </si>
  <si>
    <t>Federico Valverde</t>
  </si>
  <si>
    <t>Arda Güler</t>
  </si>
  <si>
    <t>Brahim Díaz</t>
  </si>
  <si>
    <t>Eduardo Camavinga</t>
  </si>
  <si>
    <t>Aurélien Tchouaméni</t>
  </si>
  <si>
    <t>Dani Ceballos</t>
  </si>
  <si>
    <t>Thiago Pitarch</t>
  </si>
  <si>
    <t>Trent Alexander-Arnold</t>
  </si>
  <si>
    <t>Antonio Rüdiger</t>
  </si>
  <si>
    <t>Dean Huijsen</t>
  </si>
  <si>
    <t>Éder Militão</t>
  </si>
  <si>
    <t>Daniel Carvajal</t>
  </si>
  <si>
    <t>Raúl Asencio</t>
  </si>
  <si>
    <t>David Alaba</t>
  </si>
  <si>
    <t>Álvaro Carreras</t>
  </si>
  <si>
    <t>Ferland Mendy</t>
  </si>
  <si>
    <t>Fran García</t>
  </si>
  <si>
    <t>Thibaut Courtois</t>
  </si>
  <si>
    <t>Andriy Lunin</t>
  </si>
  <si>
    <t>Georges Mikautadze</t>
  </si>
  <si>
    <t>Nicolas Pépé</t>
  </si>
  <si>
    <t>Gerard Moreno</t>
  </si>
  <si>
    <t>Ayoze Pérez</t>
  </si>
  <si>
    <t>Tani Oluwaseyi</t>
  </si>
  <si>
    <t>Alfon González</t>
  </si>
  <si>
    <t>Pau Cabanes</t>
  </si>
  <si>
    <t>Thomas Partey</t>
  </si>
  <si>
    <t>Pape Gueye</t>
  </si>
  <si>
    <t>Tajon Buchanan</t>
  </si>
  <si>
    <t>Alberto Moleiro</t>
  </si>
  <si>
    <t>Dani Parejo</t>
  </si>
  <si>
    <t>Santi Comesaña</t>
  </si>
  <si>
    <t>Renato Veiga</t>
  </si>
  <si>
    <t>Juan Foyth</t>
  </si>
  <si>
    <t>Santiago Mouriño</t>
  </si>
  <si>
    <t>Rafa Marín</t>
  </si>
  <si>
    <t>Willy Kambwala</t>
  </si>
  <si>
    <t>Sergi Cardona</t>
  </si>
  <si>
    <t>Alexander Freeman</t>
  </si>
  <si>
    <t>Logan Costa</t>
  </si>
  <si>
    <t>Alfonso Pedraza</t>
  </si>
  <si>
    <t>Pau Navarro</t>
  </si>
  <si>
    <t>Arnau Tenas</t>
  </si>
  <si>
    <t>Luiz Júnior</t>
  </si>
  <si>
    <t>Diego Conde</t>
  </si>
  <si>
    <t>Julián Alvarez</t>
  </si>
  <si>
    <t>Antoine Griezmann</t>
  </si>
  <si>
    <t>Ademola Lookman</t>
  </si>
  <si>
    <t>Alexander Sørloth</t>
  </si>
  <si>
    <t>Thiago Almada</t>
  </si>
  <si>
    <t>Nicolás González</t>
  </si>
  <si>
    <t>Giuliano Simeone</t>
  </si>
  <si>
    <t>Alejandro Baena</t>
  </si>
  <si>
    <t>Johnny Cardoso</t>
  </si>
  <si>
    <t>Pablo Barrios</t>
  </si>
  <si>
    <t>Koke</t>
  </si>
  <si>
    <t>Obed Vargas</t>
  </si>
  <si>
    <t>Rodrigo Mendoza</t>
  </si>
  <si>
    <t>Nahuel Molina</t>
  </si>
  <si>
    <t>Marcos Llorente</t>
  </si>
  <si>
    <t>Clément Lenglet</t>
  </si>
  <si>
    <t>Robin Le Normand</t>
  </si>
  <si>
    <t>José María Giménez</t>
  </si>
  <si>
    <t>Dávid Hancko</t>
  </si>
  <si>
    <t>Marc Pubill</t>
  </si>
  <si>
    <t>Matteo Ruggeri</t>
  </si>
  <si>
    <t>Julio Díaz</t>
  </si>
  <si>
    <t>Jan Oblak</t>
  </si>
  <si>
    <t>Juan Musso</t>
  </si>
  <si>
    <t>Mario de Luis</t>
  </si>
  <si>
    <t>Salvi Esquivel</t>
  </si>
  <si>
    <t>Cédric Bakambu</t>
  </si>
  <si>
    <t>Cucho Hernández</t>
  </si>
  <si>
    <t>Chimy Ávila</t>
  </si>
  <si>
    <t>Antony</t>
  </si>
  <si>
    <t>Abdessamad Ezzalzouli</t>
  </si>
  <si>
    <t>Sofyan Amrabat</t>
  </si>
  <si>
    <t>Isco</t>
  </si>
  <si>
    <t>Giovani Lo Celso</t>
  </si>
  <si>
    <t>Nelson Deossa</t>
  </si>
  <si>
    <t>Rodrigo Riquelme</t>
  </si>
  <si>
    <t>Álvaro Fidalgo</t>
  </si>
  <si>
    <t>Pablo Fornals</t>
  </si>
  <si>
    <t>Pablo García</t>
  </si>
  <si>
    <t>Marc Roca</t>
  </si>
  <si>
    <t>Sergi Altimira</t>
  </si>
  <si>
    <t>Héctor Bellerín</t>
  </si>
  <si>
    <t>Natan</t>
  </si>
  <si>
    <t>Junior Firpo</t>
  </si>
  <si>
    <t>Valentín Gómez</t>
  </si>
  <si>
    <t>Marc Bartra</t>
  </si>
  <si>
    <t>Ricardo Rodríguez</t>
  </si>
  <si>
    <t>Diego Llorente</t>
  </si>
  <si>
    <t>Aitor Ruibal</t>
  </si>
  <si>
    <t>Angel Ortiz</t>
  </si>
  <si>
    <t>Adrián</t>
  </si>
  <si>
    <t>Pau López</t>
  </si>
  <si>
    <t>Álvaro Valles</t>
  </si>
  <si>
    <t>Iago Aspas</t>
  </si>
  <si>
    <t>Borja Iglesias</t>
  </si>
  <si>
    <t>Ferran Jutglà</t>
  </si>
  <si>
    <t>Jones El-Abdellaoui</t>
  </si>
  <si>
    <t>Pablo Durán</t>
  </si>
  <si>
    <t>Ilaix Moriba</t>
  </si>
  <si>
    <t>Williot Swedberg</t>
  </si>
  <si>
    <t>Óscar Mingueza</t>
  </si>
  <si>
    <t>Matías Vecino</t>
  </si>
  <si>
    <t>Fer López</t>
  </si>
  <si>
    <t>Franco Cervi</t>
  </si>
  <si>
    <t>Hugo Álvarez</t>
  </si>
  <si>
    <t>Hugo Sotelo</t>
  </si>
  <si>
    <t>Sergio Carreira</t>
  </si>
  <si>
    <t>Miguel Román</t>
  </si>
  <si>
    <t>Andrés Antañón</t>
  </si>
  <si>
    <t>Marcos Alonso</t>
  </si>
  <si>
    <t>Joseph Aidoo</t>
  </si>
  <si>
    <t>Carl Starfelt</t>
  </si>
  <si>
    <t>Javi Rodríguez</t>
  </si>
  <si>
    <t>Mihailo Ristić</t>
  </si>
  <si>
    <t>Alvaro Núñez</t>
  </si>
  <si>
    <t>Javier Rueda</t>
  </si>
  <si>
    <t>Carlos Domínguez</t>
  </si>
  <si>
    <t>Yoel Lago</t>
  </si>
  <si>
    <t>Manu Fernández</t>
  </si>
  <si>
    <t>Ionuț Radu</t>
  </si>
  <si>
    <t>Iván Villar</t>
  </si>
  <si>
    <t>Marc Vidal</t>
  </si>
  <si>
    <t>Mikel Oyarzabal</t>
  </si>
  <si>
    <t>Orri Steinn Óskarsson</t>
  </si>
  <si>
    <t>Ander Barrenetxea</t>
  </si>
  <si>
    <t>Jon Karrikaburu</t>
  </si>
  <si>
    <t>Takefusa Kubo</t>
  </si>
  <si>
    <t>Wesley</t>
  </si>
  <si>
    <t>Luka Sučić</t>
  </si>
  <si>
    <t>Arsen Zakharyan</t>
  </si>
  <si>
    <t>Sergio Gómez</t>
  </si>
  <si>
    <t>Yangel Herrera</t>
  </si>
  <si>
    <t>Carlos Soler</t>
  </si>
  <si>
    <t>Gonçalo Guedes</t>
  </si>
  <si>
    <t>Brais Méndez</t>
  </si>
  <si>
    <t>Beñat Turrientes</t>
  </si>
  <si>
    <t>Jon Gorrotxategi</t>
  </si>
  <si>
    <t>Pablo Marín</t>
  </si>
  <si>
    <t>Jon Aramburu</t>
  </si>
  <si>
    <t>Duje Ćaleta-Car</t>
  </si>
  <si>
    <t>Álvaro Odriozola</t>
  </si>
  <si>
    <t>Jon Martin</t>
  </si>
  <si>
    <t>Igor Zubeldia</t>
  </si>
  <si>
    <t>Aihen Muñoz</t>
  </si>
  <si>
    <t>Aritz Elustondo</t>
  </si>
  <si>
    <t>Álex Remiro</t>
  </si>
  <si>
    <t>Unai Marrero</t>
  </si>
  <si>
    <t>Martín Satriano</t>
  </si>
  <si>
    <t>Borja Mayoral</t>
  </si>
  <si>
    <t>Luis Vázquez</t>
  </si>
  <si>
    <t>Veljko Birmančević</t>
  </si>
  <si>
    <t>Adrian Liso</t>
  </si>
  <si>
    <t>Juanmi</t>
  </si>
  <si>
    <t>Mario Martín</t>
  </si>
  <si>
    <t>Luis Milla</t>
  </si>
  <si>
    <t>Mauro Arambarri</t>
  </si>
  <si>
    <t>Abu Kamara</t>
  </si>
  <si>
    <t>Javier Muñoz</t>
  </si>
  <si>
    <t>Álex Sancris</t>
  </si>
  <si>
    <t>Adrián Riquelme</t>
  </si>
  <si>
    <t>Abdelkabir Abqar</t>
  </si>
  <si>
    <t>Djené</t>
  </si>
  <si>
    <t>Ismael Bekhoucha</t>
  </si>
  <si>
    <t>Sebastián Boselli</t>
  </si>
  <si>
    <t>Zaid Romero</t>
  </si>
  <si>
    <t>Diego Rico</t>
  </si>
  <si>
    <t>Allan Nyom</t>
  </si>
  <si>
    <t>Domingos Duarte</t>
  </si>
  <si>
    <t>Juan Iglesias</t>
  </si>
  <si>
    <t>Kiko Femenía</t>
  </si>
  <si>
    <t>Davinchi</t>
  </si>
  <si>
    <t>Jorge Montes</t>
  </si>
  <si>
    <t>David Soria</t>
  </si>
  <si>
    <t>Jiří Letáček</t>
  </si>
  <si>
    <t>Jorge Benito</t>
  </si>
  <si>
    <t>Maroan Sannadi</t>
  </si>
  <si>
    <t>Gorka Guruzeta</t>
  </si>
  <si>
    <t>Urko Izeta</t>
  </si>
  <si>
    <t>Nico Williams</t>
  </si>
  <si>
    <t>Iñaki Williams</t>
  </si>
  <si>
    <t>Oihan Sancet</t>
  </si>
  <si>
    <t>Álex Berenguer</t>
  </si>
  <si>
    <t>Mikel Jauregizar</t>
  </si>
  <si>
    <t>Iñigo Ruiz de Galarreta</t>
  </si>
  <si>
    <t>Robert Navarro</t>
  </si>
  <si>
    <t>Unai Gómez</t>
  </si>
  <si>
    <t>Beñat Prados</t>
  </si>
  <si>
    <t>Alejandro Rego</t>
  </si>
  <si>
    <t>Selton Sanchez</t>
  </si>
  <si>
    <t>Mikel Vesga</t>
  </si>
  <si>
    <t>Nico Serrano</t>
  </si>
  <si>
    <t>Aymeric Laporte</t>
  </si>
  <si>
    <t>Daniel Vivian</t>
  </si>
  <si>
    <t>Adama Boiro</t>
  </si>
  <si>
    <t>Yuri Berchiche</t>
  </si>
  <si>
    <t>Aitor Paredes</t>
  </si>
  <si>
    <t>Yeray Álvarez</t>
  </si>
  <si>
    <t>Jesús Areso</t>
  </si>
  <si>
    <t>Andoni Gorosabel</t>
  </si>
  <si>
    <t>Íñigo Lekue</t>
  </si>
  <si>
    <t>Unai Eguíluz</t>
  </si>
  <si>
    <t>Iker Monreal Agundez</t>
  </si>
  <si>
    <t>Unai Simón</t>
  </si>
  <si>
    <t>Alex Padilla</t>
  </si>
  <si>
    <t>Victor Muñoz</t>
  </si>
  <si>
    <t>Ante Budimir</t>
  </si>
  <si>
    <t>Raúl García de Haro</t>
  </si>
  <si>
    <t>Iker Benito</t>
  </si>
  <si>
    <t>Kike Barja</t>
  </si>
  <si>
    <t>Raúl Moro</t>
  </si>
  <si>
    <t>Aimar Oroz</t>
  </si>
  <si>
    <t>Rubén García</t>
  </si>
  <si>
    <t>Jon Moncayola</t>
  </si>
  <si>
    <t>Lucas Torró</t>
  </si>
  <si>
    <t>Moi Gómez</t>
  </si>
  <si>
    <t>Iker Muñoz</t>
  </si>
  <si>
    <t>Asier Osambela</t>
  </si>
  <si>
    <t>Flavien Boyomo</t>
  </si>
  <si>
    <t>Javi Galán</t>
  </si>
  <si>
    <t>Alejandro Catena</t>
  </si>
  <si>
    <t>Valentin Rosier</t>
  </si>
  <si>
    <t>Abel Bretones</t>
  </si>
  <si>
    <t>Jorge Herrando</t>
  </si>
  <si>
    <t>Juan Cruz</t>
  </si>
  <si>
    <t>Iñigo Arguibide</t>
  </si>
  <si>
    <t>Sergio Herrera</t>
  </si>
  <si>
    <t>Aitor Fernández</t>
  </si>
  <si>
    <t>Cyril Ngonge</t>
  </si>
  <si>
    <t>Kike García</t>
  </si>
  <si>
    <t>Charles Pickel</t>
  </si>
  <si>
    <t>Javi Puado</t>
  </si>
  <si>
    <t>Edu Expósito</t>
  </si>
  <si>
    <t>Pere Milla</t>
  </si>
  <si>
    <t>Tyrhys Dolan</t>
  </si>
  <si>
    <t>Pol Lozano</t>
  </si>
  <si>
    <t>Ramón Terrats</t>
  </si>
  <si>
    <t>Urko González</t>
  </si>
  <si>
    <t>Jofre Carreras</t>
  </si>
  <si>
    <t>Antoniu Roca</t>
  </si>
  <si>
    <t>Omar El Hilali</t>
  </si>
  <si>
    <t>Carlos Romero</t>
  </si>
  <si>
    <t>Leandro Cabrera</t>
  </si>
  <si>
    <t>Clemens Riedel</t>
  </si>
  <si>
    <t>Fernando Calero</t>
  </si>
  <si>
    <t>Jose Salinas</t>
  </si>
  <si>
    <t>Miguel Rubio</t>
  </si>
  <si>
    <t>Rubén Sánchez</t>
  </si>
  <si>
    <t>Adama Timera</t>
  </si>
  <si>
    <t>Marko Dmitrović</t>
  </si>
  <si>
    <t>Angel Fortuno</t>
  </si>
  <si>
    <t>Pol Tristan Jimenez</t>
  </si>
  <si>
    <t>Lucas Beltrán</t>
  </si>
  <si>
    <t>Arnaut Danjuma</t>
  </si>
  <si>
    <t>Umar Sadiq</t>
  </si>
  <si>
    <t>Hugo Duro</t>
  </si>
  <si>
    <t>Largie Ramazani</t>
  </si>
  <si>
    <t>Dani Raba</t>
  </si>
  <si>
    <t>Guido Rodríguez</t>
  </si>
  <si>
    <t>Javier Guerra</t>
  </si>
  <si>
    <t>Pepelu</t>
  </si>
  <si>
    <t>Diego López</t>
  </si>
  <si>
    <t>André Almeida</t>
  </si>
  <si>
    <t>Luis Rioja</t>
  </si>
  <si>
    <t>Filip Ugrinić</t>
  </si>
  <si>
    <t>Baptiste Santamaria</t>
  </si>
  <si>
    <t>Mouctar Diakhaby</t>
  </si>
  <si>
    <t>José Luis Gayà</t>
  </si>
  <si>
    <t>Renzo Saravia</t>
  </si>
  <si>
    <t>Unai Núñez</t>
  </si>
  <si>
    <t>César Tárrega</t>
  </si>
  <si>
    <t>Thierry Correia</t>
  </si>
  <si>
    <t>Eray Cömert</t>
  </si>
  <si>
    <t>Dimitri Foulquier</t>
  </si>
  <si>
    <t>Jesús Vázquez</t>
  </si>
  <si>
    <t>José Copete</t>
  </si>
  <si>
    <t>Alejandro Panach Olmo</t>
  </si>
  <si>
    <t>Julen Agirrezabala</t>
  </si>
  <si>
    <t>Stole Dimitrievski</t>
  </si>
  <si>
    <t>Cristian Rivero</t>
  </si>
  <si>
    <t>Vicent Abril</t>
  </si>
  <si>
    <t>Vladyslav Vanat</t>
  </si>
  <si>
    <t>Cristhian Stuani</t>
  </si>
  <si>
    <t>Abel Ruíz</t>
  </si>
  <si>
    <t>Portu</t>
  </si>
  <si>
    <t>Claudio Echeverri</t>
  </si>
  <si>
    <t>Azzedine Ounahi</t>
  </si>
  <si>
    <t>Axel Witsel</t>
  </si>
  <si>
    <t>Donny van de Beek</t>
  </si>
  <si>
    <t>Thomas Lemar</t>
  </si>
  <si>
    <t>Viktor Tsygankov</t>
  </si>
  <si>
    <t>Bryan Gil</t>
  </si>
  <si>
    <t>Iván Martín</t>
  </si>
  <si>
    <t>Fran Beltrán</t>
  </si>
  <si>
    <t>Lass Kourouma</t>
  </si>
  <si>
    <t>Joel Roca</t>
  </si>
  <si>
    <t>Vitor Reis</t>
  </si>
  <si>
    <t>Daley Blind</t>
  </si>
  <si>
    <t>Arnau Martínez</t>
  </si>
  <si>
    <t>Álex Moreno</t>
  </si>
  <si>
    <t>Alejandro Francés</t>
  </si>
  <si>
    <t>David López</t>
  </si>
  <si>
    <t>Hugo Rincón</t>
  </si>
  <si>
    <t>Marc-André Ter Stegen</t>
  </si>
  <si>
    <t>Paulo Gazzaniga</t>
  </si>
  <si>
    <t>Vladyslav Krapyvtsov</t>
  </si>
  <si>
    <t>Rubén Blanco</t>
  </si>
  <si>
    <t>Juan Carlos</t>
  </si>
  <si>
    <t>Jorge de Frutos</t>
  </si>
  <si>
    <t>Alemão</t>
  </si>
  <si>
    <t>Carlos Martín</t>
  </si>
  <si>
    <t>Sergio Camello</t>
  </si>
  <si>
    <t>Randy Nteka</t>
  </si>
  <si>
    <t>Ilias Akhomach</t>
  </si>
  <si>
    <t>Pathé Ismaël Ciss</t>
  </si>
  <si>
    <t>Isi Palazón</t>
  </si>
  <si>
    <t>Álvaro García</t>
  </si>
  <si>
    <t>Pedro Díaz</t>
  </si>
  <si>
    <t>Óscar Trejo</t>
  </si>
  <si>
    <t>Unai López</t>
  </si>
  <si>
    <t>Fran Pérez</t>
  </si>
  <si>
    <t>Óscar Valentín</t>
  </si>
  <si>
    <t>Gerard Gumbau</t>
  </si>
  <si>
    <t>Diego Mendez</t>
  </si>
  <si>
    <t>Andrei Rațiu</t>
  </si>
  <si>
    <t>Nobel Mendy</t>
  </si>
  <si>
    <t>Abdul Mumin</t>
  </si>
  <si>
    <t>Florian Lejeune</t>
  </si>
  <si>
    <t>Luiz Felipe</t>
  </si>
  <si>
    <t>Iván Balliu</t>
  </si>
  <si>
    <t>Alfonso Espino</t>
  </si>
  <si>
    <t>Josep Chavarría</t>
  </si>
  <si>
    <t>Jozhua Vertrouwd</t>
  </si>
  <si>
    <t>Augusto Batalla</t>
  </si>
  <si>
    <t>Dani Cárdenas</t>
  </si>
  <si>
    <t>Juanpe</t>
  </si>
  <si>
    <t>Mariano Díaz</t>
  </si>
  <si>
    <t>Lucas Boyé</t>
  </si>
  <si>
    <t>Toni Martínez</t>
  </si>
  <si>
    <t>Ibrahim Diabaté</t>
  </si>
  <si>
    <t>Youssef Enriquez Lekhedim</t>
  </si>
  <si>
    <t>Antonio Blanco</t>
  </si>
  <si>
    <t>Carles Aleñá</t>
  </si>
  <si>
    <t>Abderrahman Rebbach</t>
  </si>
  <si>
    <t>Denis Suárez</t>
  </si>
  <si>
    <t>Calebe Gonçalves</t>
  </si>
  <si>
    <t>Carlos Benavídez</t>
  </si>
  <si>
    <t>Pablo Ibáñez</t>
  </si>
  <si>
    <t>Jon Guridi</t>
  </si>
  <si>
    <t>Ander Guevara</t>
  </si>
  <si>
    <t>Facundo Garcés</t>
  </si>
  <si>
    <t>Nahuel Tenaglia</t>
  </si>
  <si>
    <t>Jonny Otto</t>
  </si>
  <si>
    <t>Jon Pacheco</t>
  </si>
  <si>
    <t>Ville Koski</t>
  </si>
  <si>
    <t>Victor Parada</t>
  </si>
  <si>
    <t>Ángel Pérez</t>
  </si>
  <si>
    <t>Antonio Sivera</t>
  </si>
  <si>
    <t>Raúl Fernández</t>
  </si>
  <si>
    <t>Alexis Sánchez</t>
  </si>
  <si>
    <t>Akor Adams</t>
  </si>
  <si>
    <t>Chidera Ejuke</t>
  </si>
  <si>
    <t>Neal Maupay</t>
  </si>
  <si>
    <t>Isaac Romero</t>
  </si>
  <si>
    <t>Gabriel Suazo</t>
  </si>
  <si>
    <t>Ruben Vargas</t>
  </si>
  <si>
    <t>Djibril Sow</t>
  </si>
  <si>
    <t>Lucien Agoumé</t>
  </si>
  <si>
    <t>Nemanja Gudelj</t>
  </si>
  <si>
    <t>Adnan Januzaj</t>
  </si>
  <si>
    <t>Batista Mendy</t>
  </si>
  <si>
    <t>Juanlu Sánchez</t>
  </si>
  <si>
    <t>Peque Fernández</t>
  </si>
  <si>
    <t>Joan Jordán</t>
  </si>
  <si>
    <t>Oso</t>
  </si>
  <si>
    <t>Manu Bueno</t>
  </si>
  <si>
    <t>César Azpilicueta</t>
  </si>
  <si>
    <t>Tanguy Nianzou</t>
  </si>
  <si>
    <t>Marcão</t>
  </si>
  <si>
    <t>José Ángel Carmona</t>
  </si>
  <si>
    <t>Kike Salas</t>
  </si>
  <si>
    <t>Federico Gattoni</t>
  </si>
  <si>
    <t>Fábio Cardoso</t>
  </si>
  <si>
    <t>Andres Castrin</t>
  </si>
  <si>
    <t>Odysseas Vlachodimos</t>
  </si>
  <si>
    <t>Ørjan Nyland</t>
  </si>
  <si>
    <t>Álvaro Rodriguez</t>
  </si>
  <si>
    <t>André Silva</t>
  </si>
  <si>
    <t>Rafa Mir</t>
  </si>
  <si>
    <t>Adam Boayar</t>
  </si>
  <si>
    <t>Tete Morente</t>
  </si>
  <si>
    <t>Lucas Cepeda</t>
  </si>
  <si>
    <t>Federico Redondo</t>
  </si>
  <si>
    <t>Grady Diangana</t>
  </si>
  <si>
    <t>Aleix Febas</t>
  </si>
  <si>
    <t>Gonzalo Villar</t>
  </si>
  <si>
    <t>Germán Valera</t>
  </si>
  <si>
    <t>Martim Neto</t>
  </si>
  <si>
    <t>Marc Aguado</t>
  </si>
  <si>
    <t>Yago Santiago</t>
  </si>
  <si>
    <t>Josan</t>
  </si>
  <si>
    <t>Hector Fort</t>
  </si>
  <si>
    <t>David Affengruber</t>
  </si>
  <si>
    <t>Buba Sangare</t>
  </si>
  <si>
    <t>Adrià Pedrosa</t>
  </si>
  <si>
    <t>Víctor Chust</t>
  </si>
  <si>
    <t>Pedro Bigas</t>
  </si>
  <si>
    <t>Léo Pétrot</t>
  </si>
  <si>
    <t>John Donald</t>
  </si>
  <si>
    <t>Bema Sina</t>
  </si>
  <si>
    <t>Iñaki Peña</t>
  </si>
  <si>
    <t>Matías Dituro</t>
  </si>
  <si>
    <t>Alejandro Iturbe</t>
  </si>
  <si>
    <t>Vedat Muriqi</t>
  </si>
  <si>
    <t>Zito Luvumbo</t>
  </si>
  <si>
    <t>Mateo Joseph</t>
  </si>
  <si>
    <t>Abdón Prats</t>
  </si>
  <si>
    <t>Pablo Torre</t>
  </si>
  <si>
    <t>Jan Virgili</t>
  </si>
  <si>
    <t>Takuma Asano</t>
  </si>
  <si>
    <t>Samú Costa</t>
  </si>
  <si>
    <t>Sergi Darder</t>
  </si>
  <si>
    <t>Omar Mascarell</t>
  </si>
  <si>
    <t>Manu Morlanes</t>
  </si>
  <si>
    <t>Justin-Noel Kalumba</t>
  </si>
  <si>
    <t>Javi Llabrés</t>
  </si>
  <si>
    <t>Jan Salas</t>
  </si>
  <si>
    <t>Jandro García</t>
  </si>
  <si>
    <t>Johan Mojica</t>
  </si>
  <si>
    <t>Pablo Maffeo</t>
  </si>
  <si>
    <t>Marash Kumbulla</t>
  </si>
  <si>
    <t>Antonio Raíllo</t>
  </si>
  <si>
    <t>Martin Valjent</t>
  </si>
  <si>
    <t>Mateu Morey</t>
  </si>
  <si>
    <t>Toni Lato</t>
  </si>
  <si>
    <t>Lucas Bergström</t>
  </si>
  <si>
    <t>Leo Román</t>
  </si>
  <si>
    <t>Iván Cuéllar</t>
  </si>
  <si>
    <t>Etta Eyong</t>
  </si>
  <si>
    <t>José Luis Morales</t>
  </si>
  <si>
    <t>Iván Romero</t>
  </si>
  <si>
    <t>Carlos Espí</t>
  </si>
  <si>
    <t>Kareem Tunde</t>
  </si>
  <si>
    <t>Paco Cortés</t>
  </si>
  <si>
    <t>Kervin Arriaga</t>
  </si>
  <si>
    <t>Carlos Álvarez</t>
  </si>
  <si>
    <t>Oriol Rey</t>
  </si>
  <si>
    <t>Tai Abed</t>
  </si>
  <si>
    <t>Iker Losada</t>
  </si>
  <si>
    <t>Ugo Raghouber</t>
  </si>
  <si>
    <t>Jon Ander Olasagasti</t>
  </si>
  <si>
    <t>Pablo Martínez</t>
  </si>
  <si>
    <t>Unai Vencedor</t>
  </si>
  <si>
    <t>Roger Brugué</t>
  </si>
  <si>
    <t>Víctor García</t>
  </si>
  <si>
    <t>Alan Matturro</t>
  </si>
  <si>
    <t>Matias Moreno</t>
  </si>
  <si>
    <t>Manuel Sánchez</t>
  </si>
  <si>
    <t>Adrián de la Fuente</t>
  </si>
  <si>
    <t>Jeremy Toljan</t>
  </si>
  <si>
    <t>Unai Elgezabal</t>
  </si>
  <si>
    <t>Diego Pampín</t>
  </si>
  <si>
    <t>Mathew Ryan</t>
  </si>
  <si>
    <t>Pablo Cuñat</t>
  </si>
  <si>
    <t>Alejandro Primo</t>
  </si>
  <si>
    <t>Federico Viñas</t>
  </si>
  <si>
    <t>Thiago Borbas</t>
  </si>
  <si>
    <t>Álex Forés</t>
  </si>
  <si>
    <t>Santi Cazorla</t>
  </si>
  <si>
    <t>Haissem Hassan</t>
  </si>
  <si>
    <t>Kwasi Sibo</t>
  </si>
  <si>
    <t>Ilyas Chaira</t>
  </si>
  <si>
    <t>Leander Dendoncker</t>
  </si>
  <si>
    <t>Thiago Fernández</t>
  </si>
  <si>
    <t>Luka Ilić</t>
  </si>
  <si>
    <t>Nicolas Fonseca</t>
  </si>
  <si>
    <t>Santiago Colombatto</t>
  </si>
  <si>
    <t>Alberto Reina</t>
  </si>
  <si>
    <t>Ovie Ejaria</t>
  </si>
  <si>
    <t>Pablo Agudín</t>
  </si>
  <si>
    <t>Eric Bailly</t>
  </si>
  <si>
    <t>Abdel Rahim</t>
  </si>
  <si>
    <t>David Carmo</t>
  </si>
  <si>
    <t>Javi López</t>
  </si>
  <si>
    <t>Nacho Vidal</t>
  </si>
  <si>
    <t>David Costas</t>
  </si>
  <si>
    <t>Dani Calvo</t>
  </si>
  <si>
    <t>Lucas Ahijado</t>
  </si>
  <si>
    <t>Adri Fernández</t>
  </si>
  <si>
    <t>Horațiu Moldovan</t>
  </si>
  <si>
    <t>Aarón Escandell</t>
  </si>
  <si>
    <t>appearances</t>
  </si>
  <si>
    <t>matches_started</t>
  </si>
  <si>
    <t>minutes_played</t>
  </si>
  <si>
    <t>goals</t>
  </si>
  <si>
    <t>assists</t>
  </si>
  <si>
    <t>expected_goals</t>
  </si>
  <si>
    <t>expected_assists</t>
  </si>
  <si>
    <t>rating</t>
  </si>
  <si>
    <t>total_shots</t>
  </si>
  <si>
    <t>shots_on_target</t>
  </si>
  <si>
    <t>yellow_cards</t>
  </si>
  <si>
    <t>red_cards</t>
  </si>
  <si>
    <t>tackles</t>
  </si>
  <si>
    <t>interceptions</t>
  </si>
  <si>
    <t>saves</t>
  </si>
  <si>
    <t>41789</t>
  </si>
  <si>
    <t>855833</t>
  </si>
  <si>
    <t>1162107</t>
  </si>
  <si>
    <t>1402912</t>
  </si>
  <si>
    <t>831005</t>
  </si>
  <si>
    <t>992587</t>
  </si>
  <si>
    <t>814590</t>
  </si>
  <si>
    <t>1103693</t>
  </si>
  <si>
    <t>795222</t>
  </si>
  <si>
    <t>789071</t>
  </si>
  <si>
    <t>1153270</t>
  </si>
  <si>
    <t>1526618</t>
  </si>
  <si>
    <t>1000483</t>
  </si>
  <si>
    <t>1939137</t>
  </si>
  <si>
    <t>1402913</t>
  </si>
  <si>
    <t>827212</t>
  </si>
  <si>
    <t>997035</t>
  </si>
  <si>
    <t>925097</t>
  </si>
  <si>
    <t>138892</t>
  </si>
  <si>
    <t>186795</t>
  </si>
  <si>
    <t>876214</t>
  </si>
  <si>
    <t>1094827</t>
  </si>
  <si>
    <t>1546073</t>
  </si>
  <si>
    <t>930267</t>
  </si>
  <si>
    <t>50490</t>
  </si>
  <si>
    <t>826643</t>
  </si>
  <si>
    <t>868812</t>
  </si>
  <si>
    <t>910536</t>
  </si>
  <si>
    <t>1403559</t>
  </si>
  <si>
    <t>1402716</t>
  </si>
  <si>
    <t>991011</t>
  </si>
  <si>
    <t>831808</t>
  </si>
  <si>
    <t>1091116</t>
  </si>
  <si>
    <t>835485</t>
  </si>
  <si>
    <t>973887</t>
  </si>
  <si>
    <t>859025</t>
  </si>
  <si>
    <t>547838</t>
  </si>
  <si>
    <t>2237795</t>
  </si>
  <si>
    <t>795064</t>
  </si>
  <si>
    <t>142622</t>
  </si>
  <si>
    <t>1176744</t>
  </si>
  <si>
    <t>822519</t>
  </si>
  <si>
    <t>138572</t>
  </si>
  <si>
    <t>1156645</t>
  </si>
  <si>
    <t>66492</t>
  </si>
  <si>
    <t>1085081</t>
  </si>
  <si>
    <t>792073</t>
  </si>
  <si>
    <t>851271</t>
  </si>
  <si>
    <t>70988</t>
  </si>
  <si>
    <t>857574</t>
  </si>
  <si>
    <t>1009372</t>
  </si>
  <si>
    <t>593526</t>
  </si>
  <si>
    <t>146866</t>
  </si>
  <si>
    <t>345195</t>
  </si>
  <si>
    <t>1172477</t>
  </si>
  <si>
    <t>1468090</t>
  </si>
  <si>
    <t>316148</t>
  </si>
  <si>
    <t>879694</t>
  </si>
  <si>
    <t>973290</t>
  </si>
  <si>
    <t>1012444</t>
  </si>
  <si>
    <t>39182</t>
  </si>
  <si>
    <t>843678</t>
  </si>
  <si>
    <t>1087359</t>
  </si>
  <si>
    <t>873189</t>
  </si>
  <si>
    <t>1468046</t>
  </si>
  <si>
    <t>984623</t>
  </si>
  <si>
    <t>986245</t>
  </si>
  <si>
    <t>1184541</t>
  </si>
  <si>
    <t>797290</t>
  </si>
  <si>
    <t>1525863</t>
  </si>
  <si>
    <t>908714</t>
  </si>
  <si>
    <t>1066603</t>
  </si>
  <si>
    <t>944656</t>
  </si>
  <si>
    <t>85859</t>
  </si>
  <si>
    <t>824200</t>
  </si>
  <si>
    <t>309078</t>
  </si>
  <si>
    <t>944660</t>
  </si>
  <si>
    <t>901325</t>
  </si>
  <si>
    <t>1099352</t>
  </si>
  <si>
    <t>910031</t>
  </si>
  <si>
    <t>990169</t>
  </si>
  <si>
    <t>1142588</t>
  </si>
  <si>
    <t>84539</t>
  </si>
  <si>
    <t>1119345</t>
  </si>
  <si>
    <t>1391752</t>
  </si>
  <si>
    <t>831799</t>
  </si>
  <si>
    <t>353138</t>
  </si>
  <si>
    <t>580550</t>
  </si>
  <si>
    <t>787751</t>
  </si>
  <si>
    <t>325355</t>
  </si>
  <si>
    <t>807771</t>
  </si>
  <si>
    <t>1094106</t>
  </si>
  <si>
    <t>965011</t>
  </si>
  <si>
    <t>1402990</t>
  </si>
  <si>
    <t>69768</t>
  </si>
  <si>
    <t>263651</t>
  </si>
  <si>
    <t>115665</t>
  </si>
  <si>
    <t>887055</t>
  </si>
  <si>
    <t>789381</t>
  </si>
  <si>
    <t>958380</t>
  </si>
  <si>
    <t>1011375</t>
  </si>
  <si>
    <t>359272</t>
  </si>
  <si>
    <t>103417</t>
  </si>
  <si>
    <t>798835</t>
  </si>
  <si>
    <t>1129401</t>
  </si>
  <si>
    <t>989113</t>
  </si>
  <si>
    <t>838629</t>
  </si>
  <si>
    <t>816763</t>
  </si>
  <si>
    <t>1893910</t>
  </si>
  <si>
    <t>847128</t>
  </si>
  <si>
    <t>1137814</t>
  </si>
  <si>
    <t>188365</t>
  </si>
  <si>
    <t>1015287</t>
  </si>
  <si>
    <t>914835</t>
  </si>
  <si>
    <t>1186010</t>
  </si>
  <si>
    <t>99519</t>
  </si>
  <si>
    <t>67769</t>
  </si>
  <si>
    <t>305278</t>
  </si>
  <si>
    <t>893062</t>
  </si>
  <si>
    <t>1152139</t>
  </si>
  <si>
    <t>548848</t>
  </si>
  <si>
    <t>964983</t>
  </si>
  <si>
    <t>19356</t>
  </si>
  <si>
    <t>785989</t>
  </si>
  <si>
    <t>949962</t>
  </si>
  <si>
    <t>1173575</t>
  </si>
  <si>
    <t>1398524</t>
  </si>
  <si>
    <t>962890</t>
  </si>
  <si>
    <t>1126779</t>
  </si>
  <si>
    <t>859773</t>
  </si>
  <si>
    <t>158615</t>
  </si>
  <si>
    <t>1526628</t>
  </si>
  <si>
    <t>1154935</t>
  </si>
  <si>
    <t>1120669</t>
  </si>
  <si>
    <t>1002764</t>
  </si>
  <si>
    <t>1398526</t>
  </si>
  <si>
    <t>1916256</t>
  </si>
  <si>
    <t>69408</t>
  </si>
  <si>
    <t>796320</t>
  </si>
  <si>
    <t>360718</t>
  </si>
  <si>
    <t>1526627</t>
  </si>
  <si>
    <t>363774</t>
  </si>
  <si>
    <t>1012410</t>
  </si>
  <si>
    <t>1008259</t>
  </si>
  <si>
    <t>1069703</t>
  </si>
  <si>
    <t>1145100</t>
  </si>
  <si>
    <t>1630975</t>
  </si>
  <si>
    <t>815202</t>
  </si>
  <si>
    <t>823622</t>
  </si>
  <si>
    <t>1026015</t>
  </si>
  <si>
    <t>966862</t>
  </si>
  <si>
    <t>1099175</t>
  </si>
  <si>
    <t>880218</t>
  </si>
  <si>
    <t>1211632</t>
  </si>
  <si>
    <t>949156</t>
  </si>
  <si>
    <t>1066045</t>
  </si>
  <si>
    <t>855835</t>
  </si>
  <si>
    <t>839585</t>
  </si>
  <si>
    <t>832427</t>
  </si>
  <si>
    <t>280979</t>
  </si>
  <si>
    <t>845385</t>
  </si>
  <si>
    <t>980410</t>
  </si>
  <si>
    <t>1216309</t>
  </si>
  <si>
    <t>1139409</t>
  </si>
  <si>
    <t>1116388</t>
  </si>
  <si>
    <t>257091</t>
  </si>
  <si>
    <t>353250</t>
  </si>
  <si>
    <t>1466116</t>
  </si>
  <si>
    <t>838159</t>
  </si>
  <si>
    <t>966441</t>
  </si>
  <si>
    <t>785468</t>
  </si>
  <si>
    <t>791773</t>
  </si>
  <si>
    <t>973536</t>
  </si>
  <si>
    <t>604954</t>
  </si>
  <si>
    <t>974713</t>
  </si>
  <si>
    <t>831510</t>
  </si>
  <si>
    <t>1515554</t>
  </si>
  <si>
    <t>96369</t>
  </si>
  <si>
    <t>1154549</t>
  </si>
  <si>
    <t>811629</t>
  </si>
  <si>
    <t>385888</t>
  </si>
  <si>
    <t>1087476</t>
  </si>
  <si>
    <t>353154</t>
  </si>
  <si>
    <t>1398518</t>
  </si>
  <si>
    <t>1101232</t>
  </si>
  <si>
    <t>307702</t>
  </si>
  <si>
    <t>1895964</t>
  </si>
  <si>
    <t>1392092</t>
  </si>
  <si>
    <t>1108450</t>
  </si>
  <si>
    <t>350560</t>
  </si>
  <si>
    <t>128637</t>
  </si>
  <si>
    <t>576276</t>
  </si>
  <si>
    <t>949707</t>
  </si>
  <si>
    <t>53739</t>
  </si>
  <si>
    <t>1918369</t>
  </si>
  <si>
    <t>1895197</t>
  </si>
  <si>
    <t>604258</t>
  </si>
  <si>
    <t>1520799</t>
  </si>
  <si>
    <t>605672</t>
  </si>
  <si>
    <t>1430667</t>
  </si>
  <si>
    <t>1085400</t>
  </si>
  <si>
    <t>783374</t>
  </si>
  <si>
    <t>966801</t>
  </si>
  <si>
    <t>592012</t>
  </si>
  <si>
    <t>1495844</t>
  </si>
  <si>
    <t>96365</t>
  </si>
  <si>
    <t>944165</t>
  </si>
  <si>
    <t>1391375</t>
  </si>
  <si>
    <t>1012409</t>
  </si>
  <si>
    <t>2110897</t>
  </si>
  <si>
    <t>1953923</t>
  </si>
  <si>
    <t>359742</t>
  </si>
  <si>
    <t>1019318</t>
  </si>
  <si>
    <t>149734</t>
  </si>
  <si>
    <t>910978</t>
  </si>
  <si>
    <t>1398511</t>
  </si>
  <si>
    <t>84531</t>
  </si>
  <si>
    <t>959872</t>
  </si>
  <si>
    <t>910267</t>
  </si>
  <si>
    <t>866810</t>
  </si>
  <si>
    <t>801837</t>
  </si>
  <si>
    <t>797291</t>
  </si>
  <si>
    <t>1145642</t>
  </si>
  <si>
    <t>37318</t>
  </si>
  <si>
    <t>997280</t>
  </si>
  <si>
    <t>1086346</t>
  </si>
  <si>
    <t>591132</t>
  </si>
  <si>
    <t>980383</t>
  </si>
  <si>
    <t>985329</t>
  </si>
  <si>
    <t>260031</t>
  </si>
  <si>
    <t>976141</t>
  </si>
  <si>
    <t>187313</t>
  </si>
  <si>
    <t>149370</t>
  </si>
  <si>
    <t>1119586</t>
  </si>
  <si>
    <t>1399702</t>
  </si>
  <si>
    <t>1067582</t>
  </si>
  <si>
    <t>825133</t>
  </si>
  <si>
    <t>900792</t>
  </si>
  <si>
    <t>842419</t>
  </si>
  <si>
    <t>1010165</t>
  </si>
  <si>
    <t>944225</t>
  </si>
  <si>
    <t>897902</t>
  </si>
  <si>
    <t>1495856</t>
  </si>
  <si>
    <t>294377</t>
  </si>
  <si>
    <t>877037</t>
  </si>
  <si>
    <t>84972</t>
  </si>
  <si>
    <t>758664</t>
  </si>
  <si>
    <t>891511</t>
  </si>
  <si>
    <t>877262</t>
  </si>
  <si>
    <t>175185</t>
  </si>
  <si>
    <t>1063015</t>
  </si>
  <si>
    <t>826010</t>
  </si>
  <si>
    <t>1088565</t>
  </si>
  <si>
    <t>1064009</t>
  </si>
  <si>
    <t>1019236</t>
  </si>
  <si>
    <t>1099344</t>
  </si>
  <si>
    <t>1064026</t>
  </si>
  <si>
    <t>1396048</t>
  </si>
  <si>
    <t>81992</t>
  </si>
  <si>
    <t>1129360</t>
  </si>
  <si>
    <t>857205</t>
  </si>
  <si>
    <t>1068891</t>
  </si>
  <si>
    <t>934351</t>
  </si>
  <si>
    <t>1021165</t>
  </si>
  <si>
    <t>94527</t>
  </si>
  <si>
    <t>962029</t>
  </si>
  <si>
    <t>827064</t>
  </si>
  <si>
    <t>754710</t>
  </si>
  <si>
    <t>909119</t>
  </si>
  <si>
    <t>909966</t>
  </si>
  <si>
    <t>873947</t>
  </si>
  <si>
    <t>609752</t>
  </si>
  <si>
    <t>1122610</t>
  </si>
  <si>
    <t>826948</t>
  </si>
  <si>
    <t>998950</t>
  </si>
  <si>
    <t>845693</t>
  </si>
  <si>
    <t>900433</t>
  </si>
  <si>
    <t>857482</t>
  </si>
  <si>
    <t>344751</t>
  </si>
  <si>
    <t>797306</t>
  </si>
  <si>
    <t>227922</t>
  </si>
  <si>
    <t>892521</t>
  </si>
  <si>
    <t>996928</t>
  </si>
  <si>
    <t>851282</t>
  </si>
  <si>
    <t>814023</t>
  </si>
  <si>
    <t>151138</t>
  </si>
  <si>
    <t>996929</t>
  </si>
  <si>
    <t>913695</t>
  </si>
  <si>
    <t>1014412</t>
  </si>
  <si>
    <t>97951</t>
  </si>
  <si>
    <t>976374</t>
  </si>
  <si>
    <t>32048</t>
  </si>
  <si>
    <t>826013</t>
  </si>
  <si>
    <t>218616</t>
  </si>
  <si>
    <t>1482424</t>
  </si>
  <si>
    <t>991421</t>
  </si>
  <si>
    <t>35612</t>
  </si>
  <si>
    <t>361790</t>
  </si>
  <si>
    <t>191182</t>
  </si>
  <si>
    <t>319735</t>
  </si>
  <si>
    <t>910026</t>
  </si>
  <si>
    <t>973699</t>
  </si>
  <si>
    <t>835484</t>
  </si>
  <si>
    <t>1860172</t>
  </si>
  <si>
    <t>1391616</t>
  </si>
  <si>
    <t>1485300</t>
  </si>
  <si>
    <t>44864</t>
  </si>
  <si>
    <t>1084081</t>
  </si>
  <si>
    <t>294593</t>
  </si>
  <si>
    <t>1002347</t>
  </si>
  <si>
    <t>135116</t>
  </si>
  <si>
    <t>1632454</t>
  </si>
  <si>
    <t>88625</t>
  </si>
  <si>
    <t>164343</t>
  </si>
  <si>
    <t>1521733</t>
  </si>
  <si>
    <t>900003</t>
  </si>
  <si>
    <t>981604</t>
  </si>
  <si>
    <t>1131581</t>
  </si>
  <si>
    <t>910024</t>
  </si>
  <si>
    <t>932764</t>
  </si>
  <si>
    <t>1089108</t>
  </si>
  <si>
    <t>913679</t>
  </si>
  <si>
    <t>899982</t>
  </si>
  <si>
    <t>345111</t>
  </si>
  <si>
    <t>900669</t>
  </si>
  <si>
    <t>21949</t>
  </si>
  <si>
    <t>588566</t>
  </si>
  <si>
    <t>966637</t>
  </si>
  <si>
    <t>900008</t>
  </si>
  <si>
    <t>326471</t>
  </si>
  <si>
    <t>965031</t>
  </si>
  <si>
    <t>1458073</t>
  </si>
  <si>
    <t>88528</t>
  </si>
  <si>
    <t>850035</t>
  </si>
  <si>
    <t>152446</t>
  </si>
  <si>
    <t>542634</t>
  </si>
  <si>
    <t>1010421</t>
  </si>
  <si>
    <t>1120947</t>
  </si>
  <si>
    <t>358910</t>
  </si>
  <si>
    <t>175753</t>
  </si>
  <si>
    <t>814385</t>
  </si>
  <si>
    <t>831253</t>
  </si>
  <si>
    <t>1084043</t>
  </si>
  <si>
    <t>1403364</t>
  </si>
  <si>
    <t>855832</t>
  </si>
  <si>
    <t>794937</t>
  </si>
  <si>
    <t>1082968</t>
  </si>
  <si>
    <t>138383</t>
  </si>
  <si>
    <t>1046796</t>
  </si>
  <si>
    <t>873717</t>
  </si>
  <si>
    <t>1084381</t>
  </si>
  <si>
    <t>788141</t>
  </si>
  <si>
    <t>891931</t>
  </si>
  <si>
    <t>879875</t>
  </si>
  <si>
    <t>896073</t>
  </si>
  <si>
    <t>235648</t>
  </si>
  <si>
    <t>934383</t>
  </si>
  <si>
    <t>999178</t>
  </si>
  <si>
    <t>985726</t>
  </si>
  <si>
    <t>1513222</t>
  </si>
  <si>
    <t>369004</t>
  </si>
  <si>
    <t>34120</t>
  </si>
  <si>
    <t>946381</t>
  </si>
  <si>
    <t>875890</t>
  </si>
  <si>
    <t>268903</t>
  </si>
  <si>
    <t>1018190</t>
  </si>
  <si>
    <t>818986</t>
  </si>
  <si>
    <t>872919</t>
  </si>
  <si>
    <t>799054</t>
  </si>
  <si>
    <t>960006</t>
  </si>
  <si>
    <t>68332</t>
  </si>
  <si>
    <t>328145</t>
  </si>
  <si>
    <t>859021</t>
  </si>
  <si>
    <t>1010655</t>
  </si>
  <si>
    <t>997033</t>
  </si>
  <si>
    <t>591750</t>
  </si>
  <si>
    <t>1534422</t>
  </si>
  <si>
    <t>1142094</t>
  </si>
  <si>
    <t>21555</t>
  </si>
  <si>
    <t>1003007</t>
  </si>
  <si>
    <t>840951</t>
  </si>
  <si>
    <t>1015240</t>
  </si>
  <si>
    <t>1097719</t>
  </si>
  <si>
    <t>941464</t>
  </si>
  <si>
    <t>252815</t>
  </si>
  <si>
    <t>1428699</t>
  </si>
  <si>
    <t>138149</t>
  </si>
  <si>
    <t>22209</t>
  </si>
  <si>
    <t>1154587</t>
  </si>
  <si>
    <t>190159</t>
  </si>
  <si>
    <t>825754</t>
  </si>
  <si>
    <t>1518971</t>
  </si>
  <si>
    <t>605374</t>
  </si>
  <si>
    <t>1126447</t>
  </si>
  <si>
    <t>1117026</t>
  </si>
  <si>
    <t>848512</t>
  </si>
  <si>
    <t>286167</t>
  </si>
  <si>
    <t>914765</t>
  </si>
  <si>
    <t>962710</t>
  </si>
  <si>
    <t>1100646</t>
  </si>
  <si>
    <t>1014595</t>
  </si>
  <si>
    <t>1092515</t>
  </si>
  <si>
    <t>808955</t>
  </si>
  <si>
    <t>1402908</t>
  </si>
  <si>
    <t>988672</t>
  </si>
  <si>
    <t>1542721</t>
  </si>
  <si>
    <t>928672</t>
  </si>
  <si>
    <t>855831</t>
  </si>
  <si>
    <t>141832</t>
  </si>
  <si>
    <t>827504</t>
  </si>
  <si>
    <t>1094758</t>
  </si>
  <si>
    <t>794949</t>
  </si>
  <si>
    <t>556884</t>
  </si>
  <si>
    <t>310874</t>
  </si>
  <si>
    <t>1000150</t>
  </si>
  <si>
    <t>1170693</t>
  </si>
  <si>
    <t>146852</t>
  </si>
  <si>
    <t>1082981</t>
  </si>
  <si>
    <t>1939173</t>
  </si>
  <si>
    <t>309546</t>
  </si>
  <si>
    <t>988351</t>
  </si>
  <si>
    <t>110783</t>
  </si>
  <si>
    <t>255999</t>
  </si>
  <si>
    <t>826004</t>
  </si>
  <si>
    <t>1484974</t>
  </si>
  <si>
    <t>1162309</t>
  </si>
  <si>
    <t>1905699</t>
  </si>
  <si>
    <t>344847</t>
  </si>
  <si>
    <t>788216</t>
  </si>
  <si>
    <t>893642</t>
  </si>
  <si>
    <t>807116</t>
  </si>
  <si>
    <t>300522</t>
  </si>
  <si>
    <t>879543</t>
  </si>
  <si>
    <t>828239</t>
  </si>
  <si>
    <t>1513896</t>
  </si>
  <si>
    <t>996903</t>
  </si>
  <si>
    <t>1131909</t>
  </si>
  <si>
    <t>1393673</t>
  </si>
  <si>
    <t>344129</t>
  </si>
  <si>
    <t>1014042</t>
  </si>
  <si>
    <t>1649918</t>
  </si>
  <si>
    <t>1649919</t>
  </si>
  <si>
    <t>1869106</t>
  </si>
  <si>
    <t>1083832</t>
  </si>
  <si>
    <t>1010656</t>
  </si>
  <si>
    <t>859769</t>
  </si>
  <si>
    <t>1160250</t>
  </si>
  <si>
    <t>992331</t>
  </si>
  <si>
    <t>1170694</t>
  </si>
  <si>
    <t>1010383</t>
  </si>
  <si>
    <t>927066</t>
  </si>
  <si>
    <t>966802</t>
  </si>
  <si>
    <t>909554</t>
  </si>
  <si>
    <t>952222</t>
  </si>
  <si>
    <t>1177401</t>
  </si>
  <si>
    <t>1496360</t>
  </si>
  <si>
    <t>984789</t>
  </si>
  <si>
    <t>997244</t>
  </si>
  <si>
    <t>149606</t>
  </si>
  <si>
    <t>813574</t>
  </si>
  <si>
    <t>855837</t>
  </si>
  <si>
    <t>134029</t>
  </si>
  <si>
    <t>1085579</t>
  </si>
  <si>
    <t>976104</t>
  </si>
  <si>
    <t>1018547</t>
  </si>
  <si>
    <t>1086128</t>
  </si>
  <si>
    <t>17651</t>
  </si>
  <si>
    <t>942836</t>
  </si>
  <si>
    <t>905639</t>
  </si>
  <si>
    <t>1008037</t>
  </si>
  <si>
    <t>190405</t>
  </si>
  <si>
    <t>1201412</t>
  </si>
  <si>
    <t>885664</t>
  </si>
  <si>
    <t>944629</t>
  </si>
  <si>
    <t>822379</t>
  </si>
  <si>
    <t>882475</t>
  </si>
  <si>
    <t>845025</t>
  </si>
  <si>
    <t>1587199</t>
  </si>
  <si>
    <t>606346</t>
  </si>
  <si>
    <t>1120504</t>
  </si>
  <si>
    <t>892235</t>
  </si>
  <si>
    <t>945404</t>
  </si>
  <si>
    <t>844752</t>
  </si>
  <si>
    <t>345333</t>
  </si>
  <si>
    <t>560756</t>
  </si>
  <si>
    <t>597876</t>
  </si>
  <si>
    <t>368922</t>
  </si>
  <si>
    <t>Delantero</t>
  </si>
  <si>
    <t>Mediocentro</t>
  </si>
  <si>
    <t>Defensa</t>
  </si>
  <si>
    <t>Portero</t>
  </si>
  <si>
    <t>Con Power Query, nos hemos quedado tan solo con  los datos de LaLiga. Hemos puesto los Id como texto y eliminado duplicados.</t>
  </si>
  <si>
    <t>Todos los números han sido establecidos como número entero excepto "Rating" y ambos "Expected" como número decimal, Inglés (Estados Unidos) ya que era decimal con punto.</t>
  </si>
  <si>
    <t>También se han modificado las posiciones, ya que salían con la inicial en inglés, y se ha puesto la posición entera en castellano.</t>
  </si>
  <si>
    <t>En cuanto a los nulos, hemos eliminado los jugadores sin valor de mercado porque ahí no podríamos implantar una mediana o media, y los de Expected y Rating los hemos dejado hasta llegar a ML</t>
  </si>
  <si>
    <t xml:space="preserve">LIMPIEZA DE LOS DATOS </t>
  </si>
  <si>
    <t>He creado la columna valor mercado en millones, dividiendo su valor entre 1000000</t>
  </si>
  <si>
    <t>valor_mercado</t>
  </si>
  <si>
    <t>Total general</t>
  </si>
  <si>
    <t>VALOR DE MERCADO MEDIO</t>
  </si>
  <si>
    <t>RATING PROMEDIO</t>
  </si>
  <si>
    <t>POSICION</t>
  </si>
  <si>
    <t>JUGADOR</t>
  </si>
  <si>
    <t>GOLES</t>
  </si>
  <si>
    <t>GOLES ESPERADOS</t>
  </si>
  <si>
    <t>ASISTENCIAS</t>
  </si>
  <si>
    <t>ASISTENCIAS ESPERADAS</t>
  </si>
  <si>
    <t>Se ha creado una columna que dice si ha jugado minimo 900 min (para considerar jugadores con suficiente presencia)</t>
  </si>
  <si>
    <t>900 min</t>
  </si>
  <si>
    <t>Si</t>
  </si>
  <si>
    <t>All</t>
  </si>
  <si>
    <t>VALOR DE MERCADO</t>
  </si>
  <si>
    <t>Se ha creado una columna con la suma de tackles+intercepciones</t>
  </si>
  <si>
    <t>tackles_e_intercepciones</t>
  </si>
  <si>
    <t>TACKLES</t>
  </si>
  <si>
    <t>INTERCEPCIONES</t>
  </si>
  <si>
    <t>TACKLES+INTERCEPCIONES</t>
  </si>
  <si>
    <t>Suma de saves</t>
  </si>
  <si>
    <t>Posición</t>
  </si>
  <si>
    <t>¿Ha jugado 900 min?</t>
  </si>
  <si>
    <t xml:space="preserve">Nº DE JUGADORES </t>
  </si>
  <si>
    <t>GOLES TOTALES</t>
  </si>
  <si>
    <t xml:space="preserve">VALOR DE MERCADO MEDIO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</si>
</sst>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pivotCacheDefinition" Target="pivotCache/pivotCacheDefinition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7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23" Type="http://schemas.openxmlformats.org/officeDocument/2006/relationships/calcChain" Target="calcChain.xml"/><Relationship Id="rId10" Type="http://schemas.openxmlformats.org/officeDocument/2006/relationships/pivotCacheDefinition" Target="pivotCache/pivotCacheDefinition5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ivotCacheDefinition" Target="pivotCache/pivotCacheDefinition9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[DATOS.xlsx]Tablas dinámicas!TablaDinámica3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800" b="1" u="sng"/>
              <a:t>VALOR</a:t>
            </a:r>
            <a:r>
              <a:rPr lang="es-ES" sz="800" b="1" u="sng" baseline="0"/>
              <a:t> DE MERCADO Y RATING POR POSICIÓN</a:t>
            </a:r>
            <a:endParaRPr lang="es-ES" sz="800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dinámicas'!$B$3</c:f>
              <c:strCache>
                <c:ptCount val="1"/>
                <c:pt idx="0">
                  <c:v>VALOR DE MERCADO 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dinámicas'!$A$4:$A$8</c:f>
              <c:strCache>
                <c:ptCount val="4"/>
                <c:pt idx="0">
                  <c:v>Defensa</c:v>
                </c:pt>
                <c:pt idx="1">
                  <c:v>Delantero</c:v>
                </c:pt>
                <c:pt idx="2">
                  <c:v>Mediocentro</c:v>
                </c:pt>
                <c:pt idx="3">
                  <c:v>Portero</c:v>
                </c:pt>
              </c:strCache>
            </c:strRef>
          </c:cat>
          <c:val>
            <c:numRef>
              <c:f>'Tablas dinámicas'!$B$4:$B$8</c:f>
              <c:numCache>
                <c:formatCode>General</c:formatCode>
                <c:ptCount val="4"/>
                <c:pt idx="0">
                  <c:v>8.1619668397790051</c:v>
                </c:pt>
                <c:pt idx="1">
                  <c:v>12.943707831460673</c:v>
                </c:pt>
                <c:pt idx="2">
                  <c:v>13.606344802955665</c:v>
                </c:pt>
                <c:pt idx="3">
                  <c:v>4.2623684210526314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6F-409B-BD5F-E5A9D8B32754}"/>
            </c:ext>
          </c:extLst>
        </c:ser>
        <c:ser>
          <c:idx val="1"/>
          <c:order val="1"/>
          <c:tx>
            <c:strRef>
              <c:f>'Tablas dinámicas'!$C$3</c:f>
              <c:strCache>
                <c:ptCount val="1"/>
                <c:pt idx="0">
                  <c:v>RATING PROMEDIO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'Tablas dinámicas'!$A$4:$A$8</c:f>
              <c:strCache>
                <c:ptCount val="4"/>
                <c:pt idx="0">
                  <c:v>Defensa</c:v>
                </c:pt>
                <c:pt idx="1">
                  <c:v>Delantero</c:v>
                </c:pt>
                <c:pt idx="2">
                  <c:v>Mediocentro</c:v>
                </c:pt>
                <c:pt idx="3">
                  <c:v>Portero</c:v>
                </c:pt>
              </c:strCache>
            </c:strRef>
          </c:cat>
          <c:val>
            <c:numRef>
              <c:f>'Tablas dinámicas'!$C$4:$C$8</c:f>
              <c:numCache>
                <c:formatCode>General</c:formatCode>
                <c:ptCount val="4"/>
                <c:pt idx="0">
                  <c:v>6.7469834698278195</c:v>
                </c:pt>
                <c:pt idx="1">
                  <c:v>6.7314943014699082</c:v>
                </c:pt>
                <c:pt idx="2">
                  <c:v>6.7709178781490404</c:v>
                </c:pt>
                <c:pt idx="3">
                  <c:v>7.057152410096406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6F-409B-BD5F-E5A9D8B32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8676448"/>
        <c:axId val="2051126864"/>
      </c:barChart>
      <c:catAx>
        <c:axId val="204867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1126864"/>
        <c:crosses val="autoZero"/>
        <c:auto val="1"/>
        <c:lblAlgn val="ctr"/>
        <c:lblOffset val="100"/>
        <c:noMultiLvlLbl val="0"/>
      </c:catAx>
      <c:valAx>
        <c:axId val="205112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4867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[DATOS.xlsx]Tablas dinámicas!TablaDinámica4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800" b="1" u="sng"/>
              <a:t>TOP</a:t>
            </a:r>
            <a:r>
              <a:rPr lang="es-ES" sz="800" b="1" u="sng" baseline="0"/>
              <a:t> 5 GOLEADORES</a:t>
            </a:r>
            <a:endParaRPr lang="es-ES" sz="800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dinámicas'!$B$12</c:f>
              <c:strCache>
                <c:ptCount val="1"/>
                <c:pt idx="0">
                  <c:v>GOLES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dinámicas'!$A$13:$A$18</c:f>
              <c:strCache>
                <c:ptCount val="5"/>
                <c:pt idx="0">
                  <c:v>Kylian Mbappé</c:v>
                </c:pt>
                <c:pt idx="1">
                  <c:v>Vedat Muriqi</c:v>
                </c:pt>
                <c:pt idx="2">
                  <c:v>Lamine Yamal</c:v>
                </c:pt>
                <c:pt idx="3">
                  <c:v>Ante Budimir</c:v>
                </c:pt>
                <c:pt idx="4">
                  <c:v>Ferran Torres</c:v>
                </c:pt>
              </c:strCache>
            </c:strRef>
          </c:cat>
          <c:val>
            <c:numRef>
              <c:f>'Tablas dinámicas'!$B$13:$B$18</c:f>
              <c:numCache>
                <c:formatCode>General</c:formatCode>
                <c:ptCount val="5"/>
                <c:pt idx="0">
                  <c:v>23</c:v>
                </c:pt>
                <c:pt idx="1">
                  <c:v>18</c:v>
                </c:pt>
                <c:pt idx="2">
                  <c:v>14</c:v>
                </c:pt>
                <c:pt idx="3">
                  <c:v>14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94-4D17-B5F4-58B531DCCE39}"/>
            </c:ext>
          </c:extLst>
        </c:ser>
        <c:ser>
          <c:idx val="1"/>
          <c:order val="1"/>
          <c:tx>
            <c:strRef>
              <c:f>'Tablas dinámicas'!$C$12</c:f>
              <c:strCache>
                <c:ptCount val="1"/>
                <c:pt idx="0">
                  <c:v>GOLES ESPERADOS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'Tablas dinámicas'!$A$13:$A$18</c:f>
              <c:strCache>
                <c:ptCount val="5"/>
                <c:pt idx="0">
                  <c:v>Kylian Mbappé</c:v>
                </c:pt>
                <c:pt idx="1">
                  <c:v>Vedat Muriqi</c:v>
                </c:pt>
                <c:pt idx="2">
                  <c:v>Lamine Yamal</c:v>
                </c:pt>
                <c:pt idx="3">
                  <c:v>Ante Budimir</c:v>
                </c:pt>
                <c:pt idx="4">
                  <c:v>Ferran Torres</c:v>
                </c:pt>
              </c:strCache>
            </c:strRef>
          </c:cat>
          <c:val>
            <c:numRef>
              <c:f>'Tablas dinámicas'!$C$13:$C$18</c:f>
              <c:numCache>
                <c:formatCode>General</c:formatCode>
                <c:ptCount val="5"/>
                <c:pt idx="0">
                  <c:v>20.800699999999999</c:v>
                </c:pt>
                <c:pt idx="1">
                  <c:v>14.42</c:v>
                </c:pt>
                <c:pt idx="2">
                  <c:v>10.0974</c:v>
                </c:pt>
                <c:pt idx="3">
                  <c:v>11.367000000000001</c:v>
                </c:pt>
                <c:pt idx="4">
                  <c:v>11.570600000000001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94-4D17-B5F4-58B531DCC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973920"/>
        <c:axId val="2051258384"/>
      </c:barChart>
      <c:catAx>
        <c:axId val="45397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1258384"/>
        <c:crosses val="autoZero"/>
        <c:auto val="1"/>
        <c:lblAlgn val="ctr"/>
        <c:lblOffset val="100"/>
        <c:noMultiLvlLbl val="0"/>
      </c:catAx>
      <c:valAx>
        <c:axId val="205125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397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legendEntry>
      <c:layout>
        <c:manualLayout>
          <c:xMode val="edge"/>
          <c:yMode val="edge"/>
          <c:x val="0.17624015748031496"/>
          <c:y val="0.81645040156497306"/>
          <c:w val="0.64751968503937007"/>
          <c:h val="0.146096414914427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t" anchorCtr="0"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[DATOS.xlsx]Tablas dinámicas!TablaDinámica5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800" b="1" u="sng"/>
              <a:t>TOP</a:t>
            </a:r>
            <a:r>
              <a:rPr lang="es-ES" sz="800" b="1" u="sng" baseline="0"/>
              <a:t> 5 ASISTENTES</a:t>
            </a:r>
            <a:endParaRPr lang="es-ES" sz="800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dinámicas'!$B$21</c:f>
              <c:strCache>
                <c:ptCount val="1"/>
                <c:pt idx="0">
                  <c:v>ASISTENCIAS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dinámicas'!$A$22:$A$27</c:f>
              <c:strCache>
                <c:ptCount val="5"/>
                <c:pt idx="0">
                  <c:v>Luis Milla</c:v>
                </c:pt>
                <c:pt idx="1">
                  <c:v>Lamine Yamal</c:v>
                </c:pt>
                <c:pt idx="2">
                  <c:v>Arda Güler</c:v>
                </c:pt>
                <c:pt idx="3">
                  <c:v>Fermín López</c:v>
                </c:pt>
                <c:pt idx="4">
                  <c:v>Federico Valverde</c:v>
                </c:pt>
              </c:strCache>
            </c:strRef>
          </c:cat>
          <c:val>
            <c:numRef>
              <c:f>'Tablas dinámicas'!$B$22:$B$27</c:f>
              <c:numCache>
                <c:formatCode>General</c:formatCode>
                <c:ptCount val="5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5-42A5-9D64-D09851724CD4}"/>
            </c:ext>
          </c:extLst>
        </c:ser>
        <c:ser>
          <c:idx val="1"/>
          <c:order val="1"/>
          <c:tx>
            <c:strRef>
              <c:f>'Tablas dinámicas'!$C$21</c:f>
              <c:strCache>
                <c:ptCount val="1"/>
                <c:pt idx="0">
                  <c:v>ASISTENCIAS ESPERADAS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'Tablas dinámicas'!$A$22:$A$27</c:f>
              <c:strCache>
                <c:ptCount val="5"/>
                <c:pt idx="0">
                  <c:v>Luis Milla</c:v>
                </c:pt>
                <c:pt idx="1">
                  <c:v>Lamine Yamal</c:v>
                </c:pt>
                <c:pt idx="2">
                  <c:v>Arda Güler</c:v>
                </c:pt>
                <c:pt idx="3">
                  <c:v>Fermín López</c:v>
                </c:pt>
                <c:pt idx="4">
                  <c:v>Federico Valverde</c:v>
                </c:pt>
              </c:strCache>
            </c:strRef>
          </c:cat>
          <c:val>
            <c:numRef>
              <c:f>'Tablas dinámicas'!$C$22:$C$27</c:f>
              <c:numCache>
                <c:formatCode>General</c:formatCode>
                <c:ptCount val="5"/>
                <c:pt idx="0">
                  <c:v>4.7009768999999997</c:v>
                </c:pt>
                <c:pt idx="1">
                  <c:v>8.9884667599999997</c:v>
                </c:pt>
                <c:pt idx="2">
                  <c:v>6.4083874300000003</c:v>
                </c:pt>
                <c:pt idx="3">
                  <c:v>3.6848660799999999</c:v>
                </c:pt>
                <c:pt idx="4">
                  <c:v>4.3081325899999996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25-42A5-9D64-D09851724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8191696"/>
        <c:axId val="2051250224"/>
      </c:barChart>
      <c:catAx>
        <c:axId val="207819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1250224"/>
        <c:crosses val="autoZero"/>
        <c:auto val="1"/>
        <c:lblAlgn val="ctr"/>
        <c:lblOffset val="100"/>
        <c:noMultiLvlLbl val="0"/>
      </c:catAx>
      <c:valAx>
        <c:axId val="205125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7819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[DATOS.xlsx]Tablas dinámicas!TablaDinámica6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800" b="1" u="sng"/>
              <a:t>TOP</a:t>
            </a:r>
            <a:r>
              <a:rPr lang="en-US" sz="800" b="1" u="sng" baseline="0"/>
              <a:t> 5 VALOR DE MERCADO</a:t>
            </a:r>
            <a:endParaRPr lang="en-US" sz="800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dinámicas'!$F$3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dinámicas'!$E$4:$E$9</c:f>
              <c:strCache>
                <c:ptCount val="5"/>
                <c:pt idx="0">
                  <c:v>Lamine Yamal</c:v>
                </c:pt>
                <c:pt idx="1">
                  <c:v>Kylian Mbappé</c:v>
                </c:pt>
                <c:pt idx="2">
                  <c:v>Vinicius Júnior</c:v>
                </c:pt>
                <c:pt idx="3">
                  <c:v>Pedri</c:v>
                </c:pt>
                <c:pt idx="4">
                  <c:v>Jude Bellingham</c:v>
                </c:pt>
              </c:strCache>
            </c:strRef>
          </c:cat>
          <c:val>
            <c:numRef>
              <c:f>'Tablas dinámicas'!$F$4:$F$9</c:f>
              <c:numCache>
                <c:formatCode>General</c:formatCode>
                <c:ptCount val="5"/>
                <c:pt idx="0">
                  <c:v>215</c:v>
                </c:pt>
                <c:pt idx="1">
                  <c:v>212</c:v>
                </c:pt>
                <c:pt idx="2">
                  <c:v>156</c:v>
                </c:pt>
                <c:pt idx="3">
                  <c:v>153</c:v>
                </c:pt>
                <c:pt idx="4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CD-412A-BF82-D76E93BEF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5040896"/>
        <c:axId val="716816240"/>
      </c:barChart>
      <c:catAx>
        <c:axId val="285040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16816240"/>
        <c:crosses val="autoZero"/>
        <c:auto val="1"/>
        <c:lblAlgn val="ctr"/>
        <c:lblOffset val="100"/>
        <c:noMultiLvlLbl val="0"/>
      </c:catAx>
      <c:valAx>
        <c:axId val="716816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8504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[DATOS.xlsx]Tablas dinámicas!TablaDinámica9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800" b="1" u="sng"/>
              <a:t>TOP</a:t>
            </a:r>
            <a:r>
              <a:rPr lang="en-US" sz="800" b="1" u="sng" baseline="0"/>
              <a:t> 5 EN  ACCIONES DEFENSIVAS</a:t>
            </a:r>
            <a:endParaRPr lang="en-US" sz="800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dinámicas'!$D$49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dinámicas'!$C$50:$C$55</c:f>
              <c:strCache>
                <c:ptCount val="5"/>
                <c:pt idx="0">
                  <c:v>Jon Aramburu</c:v>
                </c:pt>
                <c:pt idx="1">
                  <c:v>Antonio Blanco</c:v>
                </c:pt>
                <c:pt idx="2">
                  <c:v>Juan Iglesias</c:v>
                </c:pt>
                <c:pt idx="3">
                  <c:v>Carlos Romero</c:v>
                </c:pt>
                <c:pt idx="4">
                  <c:v>Santiago Mouriño</c:v>
                </c:pt>
              </c:strCache>
            </c:strRef>
          </c:cat>
          <c:val>
            <c:numRef>
              <c:f>'Tablas dinámicas'!$D$50:$D$55</c:f>
              <c:numCache>
                <c:formatCode>General</c:formatCode>
                <c:ptCount val="5"/>
                <c:pt idx="0">
                  <c:v>123</c:v>
                </c:pt>
                <c:pt idx="1">
                  <c:v>118</c:v>
                </c:pt>
                <c:pt idx="2">
                  <c:v>111</c:v>
                </c:pt>
                <c:pt idx="3">
                  <c:v>106</c:v>
                </c:pt>
                <c:pt idx="4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70-4238-8843-A650139F5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3579856"/>
        <c:axId val="717378512"/>
      </c:barChart>
      <c:catAx>
        <c:axId val="393579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17378512"/>
        <c:crosses val="autoZero"/>
        <c:auto val="1"/>
        <c:lblAlgn val="ctr"/>
        <c:lblOffset val="100"/>
        <c:noMultiLvlLbl val="0"/>
      </c:catAx>
      <c:valAx>
        <c:axId val="71737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9357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[DATOS.xlsx]Tablas dinámicas!TablaDinámica8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800" b="1" u="sng"/>
              <a:t>TO</a:t>
            </a:r>
            <a:r>
              <a:rPr lang="en-US" sz="800" b="1" u="sng" baseline="0"/>
              <a:t>P5 CON MÁS PARADAS</a:t>
            </a:r>
            <a:endParaRPr lang="en-US" sz="800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dinámicas'!$I$14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dinámicas'!$H$15:$H$20</c:f>
              <c:strCache>
                <c:ptCount val="5"/>
                <c:pt idx="0">
                  <c:v>Aarón Escandell</c:v>
                </c:pt>
                <c:pt idx="1">
                  <c:v>Mathew Ryan</c:v>
                </c:pt>
                <c:pt idx="2">
                  <c:v>Paulo Gazzaniga</c:v>
                </c:pt>
                <c:pt idx="3">
                  <c:v>Sergio Herrera</c:v>
                </c:pt>
                <c:pt idx="4">
                  <c:v>Marko Dmitrović</c:v>
                </c:pt>
              </c:strCache>
            </c:strRef>
          </c:cat>
          <c:val>
            <c:numRef>
              <c:f>'Tablas dinámicas'!$I$15:$I$20</c:f>
              <c:numCache>
                <c:formatCode>General</c:formatCode>
                <c:ptCount val="5"/>
                <c:pt idx="0">
                  <c:v>127</c:v>
                </c:pt>
                <c:pt idx="1">
                  <c:v>100</c:v>
                </c:pt>
                <c:pt idx="2">
                  <c:v>97</c:v>
                </c:pt>
                <c:pt idx="3">
                  <c:v>96</c:v>
                </c:pt>
                <c:pt idx="4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88-4C2A-980A-40366F438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8203040"/>
        <c:axId val="2069432336"/>
      </c:barChart>
      <c:catAx>
        <c:axId val="558203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69432336"/>
        <c:crosses val="autoZero"/>
        <c:auto val="1"/>
        <c:lblAlgn val="ctr"/>
        <c:lblOffset val="100"/>
        <c:noMultiLvlLbl val="0"/>
      </c:catAx>
      <c:valAx>
        <c:axId val="2069432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820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198120</xdr:colOff>
      <xdr:row>0</xdr:row>
      <xdr:rowOff>38100</xdr:rowOff>
    </xdr:from>
    <xdr:to>
      <xdr:col>8</xdr:col>
      <xdr:colOff>746760</xdr:colOff>
      <xdr:row>2</xdr:row>
      <xdr:rowOff>68340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B67992D-0ED6-0F89-A039-BC860A720182}"/>
            </a:ext>
          </a:extLst>
        </xdr:cNvPr>
        <xdr:cNvSpPr txBox="1"/>
      </xdr:nvSpPr>
      <xdr:spPr>
        <a:xfrm>
          <a:off x="1783080" y="38100"/>
          <a:ext cx="5303520" cy="396000"/>
        </a:xfrm>
        <a:custGeom>
          <a:avLst/>
          <a:gdLst>
            <a:gd name="csX0" fmla="*/ 0 w 5303520"/>
            <a:gd name="csY0" fmla="*/ 0 h 495300"/>
            <a:gd name="csX1" fmla="*/ 5288280 w 5303520"/>
            <a:gd name="csY1" fmla="*/ 0 h 495300"/>
            <a:gd name="csX2" fmla="*/ 5303520 w 5303520"/>
            <a:gd name="csY2" fmla="*/ 495300 h 495300"/>
            <a:gd name="csX3" fmla="*/ 2994660 w 5303520"/>
            <a:gd name="csY3" fmla="*/ 457200 h 495300"/>
            <a:gd name="csX4" fmla="*/ 0 w 5303520"/>
            <a:gd name="csY4" fmla="*/ 441960 h 495300"/>
            <a:gd name="csX5" fmla="*/ 0 w 5303520"/>
            <a:gd name="csY5" fmla="*/ 0 h 49530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5303520" h="495300">
              <a:moveTo>
                <a:pt x="0" y="0"/>
              </a:moveTo>
              <a:lnTo>
                <a:pt x="5288280" y="0"/>
              </a:lnTo>
              <a:lnTo>
                <a:pt x="5303520" y="495300"/>
              </a:lnTo>
              <a:lnTo>
                <a:pt x="2994660" y="457200"/>
              </a:lnTo>
              <a:lnTo>
                <a:pt x="0" y="441960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2000" b="1" u="sng">
              <a:solidFill>
                <a:schemeClr val="accent1">
                  <a:lumMod val="60000"/>
                  <a:lumOff val="40000"/>
                </a:schemeClr>
              </a:solidFill>
            </a:rPr>
            <a:t>LA</a:t>
          </a:r>
          <a:r>
            <a:rPr lang="es-ES" sz="2000" b="1" u="sng" baseline="0">
              <a:solidFill>
                <a:schemeClr val="accent1">
                  <a:lumMod val="60000"/>
                  <a:lumOff val="40000"/>
                </a:schemeClr>
              </a:solidFill>
            </a:rPr>
            <a:t> LIGA 2025-2026- ANÁLISIS DE JUGADORES</a:t>
          </a:r>
          <a:endParaRPr lang="es-ES" sz="2000" b="1" u="sng">
            <a:solidFill>
              <a:schemeClr val="accent1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0</xdr:col>
      <xdr:colOff>60960</xdr:colOff>
      <xdr:row>9</xdr:row>
      <xdr:rowOff>132060</xdr:rowOff>
    </xdr:from>
    <xdr:to>
      <xdr:col>3</xdr:col>
      <xdr:colOff>131520</xdr:colOff>
      <xdr:row>19</xdr:row>
      <xdr:rowOff>175260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8D4C270-2F9A-47BC-86E0-FC503BFD2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787680</xdr:colOff>
      <xdr:row>9</xdr:row>
      <xdr:rowOff>132060</xdr:rowOff>
    </xdr:from>
    <xdr:to>
      <xdr:col>7</xdr:col>
      <xdr:colOff>65760</xdr:colOff>
      <xdr:row>19</xdr:row>
      <xdr:rowOff>175260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AE2B2A5-7AB3-4E5F-8DAE-B734520238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721920</xdr:colOff>
      <xdr:row>9</xdr:row>
      <xdr:rowOff>132060</xdr:rowOff>
    </xdr:from>
    <xdr:to>
      <xdr:col>11</xdr:col>
      <xdr:colOff>0</xdr:colOff>
      <xdr:row>19</xdr:row>
      <xdr:rowOff>175260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D8E7789-3521-4A87-A7AA-A3023202CA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76200</xdr:colOff>
      <xdr:row>21</xdr:row>
      <xdr:rowOff>0</xdr:rowOff>
    </xdr:from>
    <xdr:to>
      <xdr:col>3</xdr:col>
      <xdr:colOff>146760</xdr:colOff>
      <xdr:row>31</xdr:row>
      <xdr:rowOff>43200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79CED3F-C822-4C8B-84D2-9E1FB99C08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2820</xdr:colOff>
      <xdr:row>21</xdr:row>
      <xdr:rowOff>0</xdr:rowOff>
    </xdr:from>
    <xdr:to>
      <xdr:col>7</xdr:col>
      <xdr:colOff>73380</xdr:colOff>
      <xdr:row>31</xdr:row>
      <xdr:rowOff>43200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1FD20FA7-A343-416E-8EE0-2111651455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721920</xdr:colOff>
      <xdr:row>21</xdr:row>
      <xdr:rowOff>0</xdr:rowOff>
    </xdr:from>
    <xdr:to>
      <xdr:col>11</xdr:col>
      <xdr:colOff>0</xdr:colOff>
      <xdr:row>31</xdr:row>
      <xdr:rowOff>43200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BF199663-F68F-4F0F-89A8-5AD6F619D0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3</xdr:col>
      <xdr:colOff>114300</xdr:colOff>
      <xdr:row>5</xdr:row>
      <xdr:rowOff>76200</xdr:rowOff>
    </xdr:from>
    <xdr:to>
      <xdr:col>7</xdr:col>
      <xdr:colOff>731520</xdr:colOff>
      <xdr:row>8</xdr:row>
      <xdr:rowOff>175260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position">
              <a:extLst>
                <a:ext uri="{FF2B5EF4-FFF2-40B4-BE49-F238E27FC236}">
                  <a16:creationId xmlns:a16="http://schemas.microsoft.com/office/drawing/2014/main" id="{02484AEE-2776-462B-8224-25E2239667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osi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91740" y="990600"/>
              <a:ext cx="3787140" cy="647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 chicharro" refreshedDate="46294.785529976849" backgroundQuery="1" createdVersion="8" refreshedVersion="8" minRefreshableVersion="3" recordCount="0" supportSubquery="1" supportAdvancedDrill="1" xr:uid="{F384BA83-061B-4AD2-B0CA-9CD048696B87}">
  <cacheSource type="external" connectionId="3"/>
  <cacheFields count="3">
    <cacheField name="[Perfiles_jugador].[position].[position]" caption="position" numFmtId="0" hierarchy="22" level="1">
      <sharedItems count="4">
        <s v="Defensa"/>
        <s v="Delantero"/>
        <s v="Mediocentro"/>
        <s v="Portero"/>
      </sharedItems>
    </cacheField>
    <cacheField name="[Measures].[Promedio de valor_mercado]" caption="Promedio de valor_mercado" numFmtId="0" hierarchy="30" level="32767"/>
    <cacheField name="[Measures].[Promedio de rating]" caption="Promedio de rating" numFmtId="0" hierarchy="32" level="32767"/>
  </cacheFields>
  <cacheHierarchies count="42">
    <cacheHierarchy uniqueName="[Estadisticas_jugador].[player_id]" caption="player_id" attribute="1" defaultMemberUniqueName="[Estadisticas_jugador].[player_id].[All]" allUniqueName="[Estadisticas_jugador].[player_id].[All]" dimensionUniqueName="[Estadisticas_jugador]" displayFolder="" count="2" memberValueDatatype="130" unbalanced="0"/>
    <cacheHierarchy uniqueName="[Estadisticas_jugador].[league]" caption="league" attribute="1" defaultMemberUniqueName="[Estadisticas_jugador].[league].[All]" allUniqueName="[Estadisticas_jugador].[league].[All]" dimensionUniqueName="[Estadisticas_jugador]" displayFolder="" count="2" memberValueDatatype="130" unbalanced="0"/>
    <cacheHierarchy uniqueName="[Estadisticas_jugador].[appearances]" caption="appearances" attribute="1" defaultMemberUniqueName="[Estadisticas_jugador].[appearances].[All]" allUniqueName="[Estadisticas_jugador].[appearances].[All]" dimensionUniqueName="[Estadisticas_jugador]" displayFolder="" count="2" memberValueDatatype="20" unbalanced="0"/>
    <cacheHierarchy uniqueName="[Estadisticas_jugador].[matches_started]" caption="matches_started" attribute="1" defaultMemberUniqueName="[Estadisticas_jugador].[matches_started].[All]" allUniqueName="[Estadisticas_jugador].[matches_started].[All]" dimensionUniqueName="[Estadisticas_jugador]" displayFolder="" count="2" memberValueDatatype="20" unbalanced="0"/>
    <cacheHierarchy uniqueName="[Estadisticas_jugador].[minutes_played]" caption="minutes_played" attribute="1" defaultMemberUniqueName="[Estadisticas_jugador].[minutes_played].[All]" allUniqueName="[Estadisticas_jugador].[minutes_played].[All]" dimensionUniqueName="[Estadisticas_jugador]" displayFolder="" count="2" memberValueDatatype="20" unbalanced="0"/>
    <cacheHierarchy uniqueName="[Estadisticas_jugador].[900 min]" caption="900 min" attribute="1" defaultMemberUniqueName="[Estadisticas_jugador].[900 min].[All]" allUniqueName="[Estadisticas_jugador].[900 min].[All]" dimensionUniqueName="[Estadisticas_jugador]" displayFolder="" count="2" memberValueDatatype="130" unbalanced="0"/>
    <cacheHierarchy uniqueName="[Estadisticas_jugador].[goals]" caption="goals" attribute="1" defaultMemberUniqueName="[Estadisticas_jugador].[goals].[All]" allUniqueName="[Estadisticas_jugador].[goals].[All]" dimensionUniqueName="[Estadisticas_jugador]" displayFolder="" count="2" memberValueDatatype="20" unbalanced="0"/>
    <cacheHierarchy uniqueName="[Estadisticas_jugador].[assists]" caption="assists" attribute="1" defaultMemberUniqueName="[Estadisticas_jugador].[assists].[All]" allUniqueName="[Estadisticas_jugador].[assists].[All]" dimensionUniqueName="[Estadisticas_jugador]" displayFolder="" count="2" memberValueDatatype="20" unbalanced="0"/>
    <cacheHierarchy uniqueName="[Estadisticas_jugador].[expected_goals]" caption="expected_goals" attribute="1" defaultMemberUniqueName="[Estadisticas_jugador].[expected_goals].[All]" allUniqueName="[Estadisticas_jugador].[expected_goals].[All]" dimensionUniqueName="[Estadisticas_jugador]" displayFolder="" count="2" memberValueDatatype="5" unbalanced="0"/>
    <cacheHierarchy uniqueName="[Estadisticas_jugador].[expected_assists]" caption="expected_assists" attribute="1" defaultMemberUniqueName="[Estadisticas_jugador].[expected_assists].[All]" allUniqueName="[Estadisticas_jugador].[expected_assists].[All]" dimensionUniqueName="[Estadisticas_jugador]" displayFolder="" count="2" memberValueDatatype="5" unbalanced="0"/>
    <cacheHierarchy uniqueName="[Estadisticas_jugador].[rating]" caption="rating" attribute="1" defaultMemberUniqueName="[Estadisticas_jugador].[rating].[All]" allUniqueName="[Estadisticas_jugador].[rating].[All]" dimensionUniqueName="[Estadisticas_jugador]" displayFolder="" count="2" memberValueDatatype="5" unbalanced="0"/>
    <cacheHierarchy uniqueName="[Estadisticas_jugador].[total_shots]" caption="total_shots" attribute="1" defaultMemberUniqueName="[Estadisticas_jugador].[total_shots].[All]" allUniqueName="[Estadisticas_jugador].[total_shots].[All]" dimensionUniqueName="[Estadisticas_jugador]" displayFolder="" count="2" memberValueDatatype="20" unbalanced="0"/>
    <cacheHierarchy uniqueName="[Estadisticas_jugador].[shots_on_target]" caption="shots_on_target" attribute="1" defaultMemberUniqueName="[Estadisticas_jugador].[shots_on_target].[All]" allUniqueName="[Estadisticas_jugador].[shots_on_target].[All]" dimensionUniqueName="[Estadisticas_jugador]" displayFolder="" count="2" memberValueDatatype="20" unbalanced="0"/>
    <cacheHierarchy uniqueName="[Estadisticas_jugador].[yellow_cards]" caption="yellow_cards" attribute="1" defaultMemberUniqueName="[Estadisticas_jugador].[yellow_cards].[All]" allUniqueName="[Estadisticas_jugador].[yellow_cards].[All]" dimensionUniqueName="[Estadisticas_jugador]" displayFolder="" count="2" memberValueDatatype="20" unbalanced="0"/>
    <cacheHierarchy uniqueName="[Estadisticas_jugador].[red_cards]" caption="red_cards" attribute="1" defaultMemberUniqueName="[Estadisticas_jugador].[red_cards].[All]" allUniqueName="[Estadisticas_jugador].[red_cards].[All]" dimensionUniqueName="[Estadisticas_jugador]" displayFolder="" count="2" memberValueDatatype="20" unbalanced="0"/>
    <cacheHierarchy uniqueName="[Estadisticas_jugador].[tackles]" caption="tackles" attribute="1" defaultMemberUniqueName="[Estadisticas_jugador].[tackles].[All]" allUniqueName="[Estadisticas_jugador].[tackles].[All]" dimensionUniqueName="[Estadisticas_jugador]" displayFolder="" count="2" memberValueDatatype="20" unbalanced="0"/>
    <cacheHierarchy uniqueName="[Estadisticas_jugador].[interceptions]" caption="interceptions" attribute="1" defaultMemberUniqueName="[Estadisticas_jugador].[interceptions].[All]" allUniqueName="[Estadisticas_jugador].[interceptions].[All]" dimensionUniqueName="[Estadisticas_jugador]" displayFolder="" count="2" memberValueDatatype="20" unbalanced="0"/>
    <cacheHierarchy uniqueName="[Estadisticas_jugador].[tackles_e_intercepciones]" caption="tackles_e_intercepciones" attribute="1" defaultMemberUniqueName="[Estadisticas_jugador].[tackles_e_intercepciones].[All]" allUniqueName="[Estadisticas_jugador].[tackles_e_intercepciones].[All]" dimensionUniqueName="[Estadisticas_jugador]" displayFolder="" count="2" memberValueDatatype="20" unbalanced="0"/>
    <cacheHierarchy uniqueName="[Estadisticas_jugador].[saves]" caption="saves" attribute="1" defaultMemberUniqueName="[Estadisticas_jugador].[saves].[All]" allUniqueName="[Estadisticas_jugador].[saves].[All]" dimensionUniqueName="[Estadisticas_jugador]" displayFolder="" count="2" memberValueDatatype="20" unbalanced="0"/>
    <cacheHierarchy uniqueName="[Perfiles_jugador].[player_id]" caption="player_id" attribute="1" defaultMemberUniqueName="[Perfiles_jugador].[player_id].[All]" allUniqueName="[Perfiles_jugador].[player_id].[All]" dimensionUniqueName="[Perfiles_jugador]" displayFolder="" count="2" memberValueDatatype="20" unbalanced="0"/>
    <cacheHierarchy uniqueName="[Perfiles_jugador].[name]" caption="name" attribute="1" defaultMemberUniqueName="[Perfiles_jugador].[name].[All]" allUniqueName="[Perfiles_jugador].[name].[All]" dimensionUniqueName="[Perfiles_jugador]" displayFolder="" count="2" memberValueDatatype="130" unbalanced="0"/>
    <cacheHierarchy uniqueName="[Perfiles_jugador].[league]" caption="league" attribute="1" defaultMemberUniqueName="[Perfiles_jugador].[league].[All]" allUniqueName="[Perfiles_jugador].[league].[All]" dimensionUniqueName="[Perfiles_jugador]" displayFolder="" count="2" memberValueDatatype="130" unbalanced="0"/>
    <cacheHierarchy uniqueName="[Perfiles_jugador].[position]" caption="position" attribute="1" defaultMemberUniqueName="[Perfiles_jugador].[position].[All]" allUniqueName="[Perfiles_jugador].[position].[All]" dimensionUniqueName="[Perfiles_jugador]" displayFolder="" count="2" memberValueDatatype="130" unbalanced="0">
      <fieldsUsage count="2">
        <fieldUsage x="-1"/>
        <fieldUsage x="0"/>
      </fieldsUsage>
    </cacheHierarchy>
    <cacheHierarchy uniqueName="[Perfiles_jugador].[market_value]" caption="market_value" attribute="1" defaultMemberUniqueName="[Perfiles_jugador].[market_value].[All]" allUniqueName="[Perfiles_jugador].[market_value].[All]" dimensionUniqueName="[Perfiles_jugador]" displayFolder="" count="2" memberValueDatatype="20" unbalanced="0"/>
    <cacheHierarchy uniqueName="[Perfiles_jugador].[valor_mercado]" caption="valor_mercado" attribute="1" defaultMemberUniqueName="[Perfiles_jugador].[valor_mercado].[All]" allUniqueName="[Perfiles_jugador].[valor_mercado].[All]" dimensionUniqueName="[Perfiles_jugador]" displayFolder="" count="2" memberValueDatatype="5" unbalanced="0"/>
    <cacheHierarchy uniqueName="[Measures].[__XL_Count Perfiles_jugador]" caption="__XL_Count Perfiles_jugador" measure="1" displayFolder="" measureGroup="Perfiles_jugador" count="0" hidden="1"/>
    <cacheHierarchy uniqueName="[Measures].[__XL_Count Estadisticas_jugador]" caption="__XL_Count Estadisticas_jugador" measure="1" displayFolder="" measureGroup="Estadisticas_jugador" count="0" hidden="1"/>
    <cacheHierarchy uniqueName="[Measures].[__No measures defined]" caption="__No measures defined" measure="1" displayFolder="" count="0" hidden="1"/>
    <cacheHierarchy uniqueName="[Measures].[Suma de market_value]" caption="Suma de market_value" measure="1" displayFolder="" measureGroup="Perfiles_jugador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valor_mercado]" caption="Suma de valor_mercado" measure="1" displayFolder="" measureGroup="Perfiles_jugado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Promedio de valor_mercado]" caption="Promedio de valor_mercado" measure="1" displayFolder="" measureGroup="Perfiles_jugado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rating]" caption="Suma de rating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rating]" caption="Promedio de rating" measure="1" displayFolder="" measureGroup="Estadisticas_jugado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goals]" caption="Suma de goal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assists]" caption="Suma de assist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expected_assists]" caption="Suma de expected_assist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expected_goals]" caption="Suma de expected_goal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minutes_played]" caption="Suma de minutes_played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tackles]" caption="Suma de tackle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interceptions]" caption="Suma de interception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tackles_e_intercepciones]" caption="Suma de tackles_e_intercepcione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saves]" caption="Suma de save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3">
    <dimension name="Estadisticas_jugador" uniqueName="[Estadisticas_jugador]" caption="Estadisticas_jugador"/>
    <dimension measure="1" name="Measures" uniqueName="[Measures]" caption="Measures"/>
    <dimension name="Perfiles_jugador" uniqueName="[Perfiles_jugador]" caption="Perfiles_jugador"/>
  </dimensions>
  <measureGroups count="2">
    <measureGroup name="Estadisticas_jugador" caption="Estadisticas_jugador"/>
    <measureGroup name="Perfiles_jugador" caption="Perfiles_jugador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 chicharro" refreshedDate="46294.785530439818" backgroundQuery="1" createdVersion="8" refreshedVersion="8" minRefreshableVersion="3" recordCount="0" supportSubquery="1" supportAdvancedDrill="1" xr:uid="{3850F503-6F3A-4908-842E-8DBD37223854}">
  <cacheSource type="external" connectionId="3"/>
  <cacheFields count="4">
    <cacheField name="[Perfiles_jugador].[name].[name]" caption="name" numFmtId="0" hierarchy="20" level="1">
      <sharedItems count="5">
        <s v="Joan García"/>
        <s v="Kylian Mbappé"/>
        <s v="Lamine Yamal"/>
        <s v="Pedri"/>
        <s v="Raphinha"/>
      </sharedItems>
    </cacheField>
    <cacheField name="[Measures].[Promedio de rating]" caption="Promedio de rating" numFmtId="0" hierarchy="32" level="32767"/>
    <cacheField name="[Estadisticas_jugador].[900 min].[900 min]" caption="900 min" numFmtId="0" hierarchy="5" level="1">
      <sharedItems containsSemiMixedTypes="0" containsNonDate="0" containsString="0"/>
    </cacheField>
    <cacheField name="[Perfiles_jugador].[position].[position]" caption="position" numFmtId="0" hierarchy="22" level="1">
      <sharedItems containsSemiMixedTypes="0" containsNonDate="0" containsString="0"/>
    </cacheField>
  </cacheFields>
  <cacheHierarchies count="42">
    <cacheHierarchy uniqueName="[Estadisticas_jugador].[player_id]" caption="player_id" attribute="1" defaultMemberUniqueName="[Estadisticas_jugador].[player_id].[All]" allUniqueName="[Estadisticas_jugador].[player_id].[All]" dimensionUniqueName="[Estadisticas_jugador]" displayFolder="" count="0" memberValueDatatype="130" unbalanced="0"/>
    <cacheHierarchy uniqueName="[Estadisticas_jugador].[league]" caption="league" attribute="1" defaultMemberUniqueName="[Estadisticas_jugador].[league].[All]" allUniqueName="[Estadisticas_jugador].[league].[All]" dimensionUniqueName="[Estadisticas_jugador]" displayFolder="" count="0" memberValueDatatype="130" unbalanced="0"/>
    <cacheHierarchy uniqueName="[Estadisticas_jugador].[appearances]" caption="appearances" attribute="1" defaultMemberUniqueName="[Estadisticas_jugador].[appearances].[All]" allUniqueName="[Estadisticas_jugador].[appearances].[All]" dimensionUniqueName="[Estadisticas_jugador]" displayFolder="" count="0" memberValueDatatype="20" unbalanced="0"/>
    <cacheHierarchy uniqueName="[Estadisticas_jugador].[matches_started]" caption="matches_started" attribute="1" defaultMemberUniqueName="[Estadisticas_jugador].[matches_started].[All]" allUniqueName="[Estadisticas_jugador].[matches_started].[All]" dimensionUniqueName="[Estadisticas_jugador]" displayFolder="" count="0" memberValueDatatype="20" unbalanced="0"/>
    <cacheHierarchy uniqueName="[Estadisticas_jugador].[minutes_played]" caption="minutes_played" attribute="1" defaultMemberUniqueName="[Estadisticas_jugador].[minutes_played].[All]" allUniqueName="[Estadisticas_jugador].[minutes_played].[All]" dimensionUniqueName="[Estadisticas_jugador]" displayFolder="" count="0" memberValueDatatype="20" unbalanced="0"/>
    <cacheHierarchy uniqueName="[Estadisticas_jugador].[900 min]" caption="900 min" attribute="1" defaultMemberUniqueName="[Estadisticas_jugador].[900 min].[All]" allUniqueName="[Estadisticas_jugador].[900 min].[All]" dimensionUniqueName="[Estadisticas_jugador]" displayFolder="" count="2" memberValueDatatype="130" unbalanced="0">
      <fieldsUsage count="2">
        <fieldUsage x="-1"/>
        <fieldUsage x="2"/>
      </fieldsUsage>
    </cacheHierarchy>
    <cacheHierarchy uniqueName="[Estadisticas_jugador].[goals]" caption="goals" attribute="1" defaultMemberUniqueName="[Estadisticas_jugador].[goals].[All]" allUniqueName="[Estadisticas_jugador].[goals].[All]" dimensionUniqueName="[Estadisticas_jugador]" displayFolder="" count="0" memberValueDatatype="20" unbalanced="0"/>
    <cacheHierarchy uniqueName="[Estadisticas_jugador].[assists]" caption="assists" attribute="1" defaultMemberUniqueName="[Estadisticas_jugador].[assists].[All]" allUniqueName="[Estadisticas_jugador].[assists].[All]" dimensionUniqueName="[Estadisticas_jugador]" displayFolder="" count="0" memberValueDatatype="20" unbalanced="0"/>
    <cacheHierarchy uniqueName="[Estadisticas_jugador].[expected_goals]" caption="expected_goals" attribute="1" defaultMemberUniqueName="[Estadisticas_jugador].[expected_goals].[All]" allUniqueName="[Estadisticas_jugador].[expected_goals].[All]" dimensionUniqueName="[Estadisticas_jugador]" displayFolder="" count="0" memberValueDatatype="5" unbalanced="0"/>
    <cacheHierarchy uniqueName="[Estadisticas_jugador].[expected_assists]" caption="expected_assists" attribute="1" defaultMemberUniqueName="[Estadisticas_jugador].[expected_assists].[All]" allUniqueName="[Estadisticas_jugador].[expected_assists].[All]" dimensionUniqueName="[Estadisticas_jugador]" displayFolder="" count="0" memberValueDatatype="5" unbalanced="0"/>
    <cacheHierarchy uniqueName="[Estadisticas_jugador].[rating]" caption="rating" attribute="1" defaultMemberUniqueName="[Estadisticas_jugador].[rating].[All]" allUniqueName="[Estadisticas_jugador].[rating].[All]" dimensionUniqueName="[Estadisticas_jugador]" displayFolder="" count="0" memberValueDatatype="5" unbalanced="0"/>
    <cacheHierarchy uniqueName="[Estadisticas_jugador].[total_shots]" caption="total_shots" attribute="1" defaultMemberUniqueName="[Estadisticas_jugador].[total_shots].[All]" allUniqueName="[Estadisticas_jugador].[total_shots].[All]" dimensionUniqueName="[Estadisticas_jugador]" displayFolder="" count="0" memberValueDatatype="20" unbalanced="0"/>
    <cacheHierarchy uniqueName="[Estadisticas_jugador].[shots_on_target]" caption="shots_on_target" attribute="1" defaultMemberUniqueName="[Estadisticas_jugador].[shots_on_target].[All]" allUniqueName="[Estadisticas_jugador].[shots_on_target].[All]" dimensionUniqueName="[Estadisticas_jugador]" displayFolder="" count="0" memberValueDatatype="20" unbalanced="0"/>
    <cacheHierarchy uniqueName="[Estadisticas_jugador].[yellow_cards]" caption="yellow_cards" attribute="1" defaultMemberUniqueName="[Estadisticas_jugador].[yellow_cards].[All]" allUniqueName="[Estadisticas_jugador].[yellow_cards].[All]" dimensionUniqueName="[Estadisticas_jugador]" displayFolder="" count="0" memberValueDatatype="20" unbalanced="0"/>
    <cacheHierarchy uniqueName="[Estadisticas_jugador].[red_cards]" caption="red_cards" attribute="1" defaultMemberUniqueName="[Estadisticas_jugador].[red_cards].[All]" allUniqueName="[Estadisticas_jugador].[red_cards].[All]" dimensionUniqueName="[Estadisticas_jugador]" displayFolder="" count="0" memberValueDatatype="20" unbalanced="0"/>
    <cacheHierarchy uniqueName="[Estadisticas_jugador].[tackles]" caption="tackles" attribute="1" defaultMemberUniqueName="[Estadisticas_jugador].[tackles].[All]" allUniqueName="[Estadisticas_jugador].[tackles].[All]" dimensionUniqueName="[Estadisticas_jugador]" displayFolder="" count="0" memberValueDatatype="20" unbalanced="0"/>
    <cacheHierarchy uniqueName="[Estadisticas_jugador].[interceptions]" caption="interceptions" attribute="1" defaultMemberUniqueName="[Estadisticas_jugador].[interceptions].[All]" allUniqueName="[Estadisticas_jugador].[interceptions].[All]" dimensionUniqueName="[Estadisticas_jugador]" displayFolder="" count="0" memberValueDatatype="20" unbalanced="0"/>
    <cacheHierarchy uniqueName="[Estadisticas_jugador].[tackles_e_intercepciones]" caption="tackles_e_intercepciones" attribute="1" defaultMemberUniqueName="[Estadisticas_jugador].[tackles_e_intercepciones].[All]" allUniqueName="[Estadisticas_jugador].[tackles_e_intercepciones].[All]" dimensionUniqueName="[Estadisticas_jugador]" displayFolder="" count="0" memberValueDatatype="20" unbalanced="0"/>
    <cacheHierarchy uniqueName="[Estadisticas_jugador].[saves]" caption="saves" attribute="1" defaultMemberUniqueName="[Estadisticas_jugador].[saves].[All]" allUniqueName="[Estadisticas_jugador].[saves].[All]" dimensionUniqueName="[Estadisticas_jugador]" displayFolder="" count="0" memberValueDatatype="20" unbalanced="0"/>
    <cacheHierarchy uniqueName="[Perfiles_jugador].[player_id]" caption="player_id" attribute="1" defaultMemberUniqueName="[Perfiles_jugador].[player_id].[All]" allUniqueName="[Perfiles_jugador].[player_id].[All]" dimensionUniqueName="[Perfiles_jugador]" displayFolder="" count="0" memberValueDatatype="20" unbalanced="0"/>
    <cacheHierarchy uniqueName="[Perfiles_jugador].[name]" caption="name" attribute="1" defaultMemberUniqueName="[Perfiles_jugador].[name].[All]" allUniqueName="[Perfiles_jugador].[name].[All]" dimensionUniqueName="[Perfiles_jugador]" displayFolder="" count="2" memberValueDatatype="130" unbalanced="0">
      <fieldsUsage count="2">
        <fieldUsage x="-1"/>
        <fieldUsage x="0"/>
      </fieldsUsage>
    </cacheHierarchy>
    <cacheHierarchy uniqueName="[Perfiles_jugador].[league]" caption="league" attribute="1" defaultMemberUniqueName="[Perfiles_jugador].[league].[All]" allUniqueName="[Perfiles_jugador].[league].[All]" dimensionUniqueName="[Perfiles_jugador]" displayFolder="" count="0" memberValueDatatype="130" unbalanced="0"/>
    <cacheHierarchy uniqueName="[Perfiles_jugador].[position]" caption="position" attribute="1" defaultMemberUniqueName="[Perfiles_jugador].[position].[All]" allUniqueName="[Perfiles_jugador].[position].[All]" dimensionUniqueName="[Perfiles_jugador]" displayFolder="" count="2" memberValueDatatype="130" unbalanced="0">
      <fieldsUsage count="2">
        <fieldUsage x="-1"/>
        <fieldUsage x="3"/>
      </fieldsUsage>
    </cacheHierarchy>
    <cacheHierarchy uniqueName="[Perfiles_jugador].[market_value]" caption="market_value" attribute="1" defaultMemberUniqueName="[Perfiles_jugador].[market_value].[All]" allUniqueName="[Perfiles_jugador].[market_value].[All]" dimensionUniqueName="[Perfiles_jugador]" displayFolder="" count="0" memberValueDatatype="20" unbalanced="0"/>
    <cacheHierarchy uniqueName="[Perfiles_jugador].[valor_mercado]" caption="valor_mercado" attribute="1" defaultMemberUniqueName="[Perfiles_jugador].[valor_mercado].[All]" allUniqueName="[Perfiles_jugador].[valor_mercado].[All]" dimensionUniqueName="[Perfiles_jugador]" displayFolder="" count="0" memberValueDatatype="5" unbalanced="0"/>
    <cacheHierarchy uniqueName="[Measures].[__XL_Count Perfiles_jugador]" caption="__XL_Count Perfiles_jugador" measure="1" displayFolder="" measureGroup="Perfiles_jugador" count="0" hidden="1"/>
    <cacheHierarchy uniqueName="[Measures].[__XL_Count Estadisticas_jugador]" caption="__XL_Count Estadisticas_jugador" measure="1" displayFolder="" measureGroup="Estadisticas_jugador" count="0" hidden="1"/>
    <cacheHierarchy uniqueName="[Measures].[__No measures defined]" caption="__No measures defined" measure="1" displayFolder="" count="0" hidden="1"/>
    <cacheHierarchy uniqueName="[Measures].[Suma de market_value]" caption="Suma de market_value" measure="1" displayFolder="" measureGroup="Perfiles_jugador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valor_mercado]" caption="Suma de valor_mercado" measure="1" displayFolder="" measureGroup="Perfiles_jugado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Promedio de valor_mercado]" caption="Promedio de valor_mercado" measure="1" displayFolder="" measureGroup="Perfiles_jugado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rating]" caption="Suma de rating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rating]" caption="Promedio de rating" measure="1" displayFolder="" measureGroup="Estadisticas_jugado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goals]" caption="Suma de goal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assists]" caption="Suma de assist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expected_assists]" caption="Suma de expected_assist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expected_goals]" caption="Suma de expected_goal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minutes_played]" caption="Suma de minutes_played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tackles]" caption="Suma de tackle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interceptions]" caption="Suma de interception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tackles_e_intercepciones]" caption="Suma de tackles_e_intercepcione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saves]" caption="Suma de save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3">
    <dimension name="Estadisticas_jugador" uniqueName="[Estadisticas_jugador]" caption="Estadisticas_jugador"/>
    <dimension measure="1" name="Measures" uniqueName="[Measures]" caption="Measures"/>
    <dimension name="Perfiles_jugador" uniqueName="[Perfiles_jugador]" caption="Perfiles_jugador"/>
  </dimensions>
  <measureGroups count="2">
    <measureGroup name="Estadisticas_jugador" caption="Estadisticas_jugador"/>
    <measureGroup name="Perfiles_jugador" caption="Perfiles_jugador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 chicharro" refreshedDate="46294.785531018519" backgroundQuery="1" createdVersion="8" refreshedVersion="8" minRefreshableVersion="3" recordCount="0" supportSubquery="1" supportAdvancedDrill="1" xr:uid="{2CAF50CF-6878-4E87-B053-6F9223DF430B}">
  <cacheSource type="external" connectionId="3"/>
  <cacheFields count="5">
    <cacheField name="[Perfiles_jugador].[name].[name]" caption="name" numFmtId="0" hierarchy="20" level="1">
      <sharedItems count="5">
        <s v="Antonio Blanco"/>
        <s v="Carlos Romero"/>
        <s v="Jon Aramburu"/>
        <s v="Juan Iglesias"/>
        <s v="Santiago Mouriño"/>
      </sharedItems>
    </cacheField>
    <cacheField name="[Measures].[Suma de interceptions]" caption="Suma de interceptions" numFmtId="0" hierarchy="39" level="32767"/>
    <cacheField name="[Measures].[Suma de tackles_e_intercepciones]" caption="Suma de tackles_e_intercepciones" numFmtId="0" hierarchy="40" level="32767"/>
    <cacheField name="[Measures].[Suma de tackles]" caption="Suma de tackles" numFmtId="0" hierarchy="38" level="32767"/>
    <cacheField name="[Perfiles_jugador].[position].[position]" caption="position" numFmtId="0" hierarchy="22" level="1">
      <sharedItems containsSemiMixedTypes="0" containsNonDate="0" containsString="0"/>
    </cacheField>
  </cacheFields>
  <cacheHierarchies count="42">
    <cacheHierarchy uniqueName="[Estadisticas_jugador].[player_id]" caption="player_id" attribute="1" defaultMemberUniqueName="[Estadisticas_jugador].[player_id].[All]" allUniqueName="[Estadisticas_jugador].[player_id].[All]" dimensionUniqueName="[Estadisticas_jugador]" displayFolder="" count="0" memberValueDatatype="130" unbalanced="0"/>
    <cacheHierarchy uniqueName="[Estadisticas_jugador].[league]" caption="league" attribute="1" defaultMemberUniqueName="[Estadisticas_jugador].[league].[All]" allUniqueName="[Estadisticas_jugador].[league].[All]" dimensionUniqueName="[Estadisticas_jugador]" displayFolder="" count="0" memberValueDatatype="130" unbalanced="0"/>
    <cacheHierarchy uniqueName="[Estadisticas_jugador].[appearances]" caption="appearances" attribute="1" defaultMemberUniqueName="[Estadisticas_jugador].[appearances].[All]" allUniqueName="[Estadisticas_jugador].[appearances].[All]" dimensionUniqueName="[Estadisticas_jugador]" displayFolder="" count="0" memberValueDatatype="20" unbalanced="0"/>
    <cacheHierarchy uniqueName="[Estadisticas_jugador].[matches_started]" caption="matches_started" attribute="1" defaultMemberUniqueName="[Estadisticas_jugador].[matches_started].[All]" allUniqueName="[Estadisticas_jugador].[matches_started].[All]" dimensionUniqueName="[Estadisticas_jugador]" displayFolder="" count="0" memberValueDatatype="20" unbalanced="0"/>
    <cacheHierarchy uniqueName="[Estadisticas_jugador].[minutes_played]" caption="minutes_played" attribute="1" defaultMemberUniqueName="[Estadisticas_jugador].[minutes_played].[All]" allUniqueName="[Estadisticas_jugador].[minutes_played].[All]" dimensionUniqueName="[Estadisticas_jugador]" displayFolder="" count="0" memberValueDatatype="20" unbalanced="0"/>
    <cacheHierarchy uniqueName="[Estadisticas_jugador].[900 min]" caption="900 min" attribute="1" defaultMemberUniqueName="[Estadisticas_jugador].[900 min].[All]" allUniqueName="[Estadisticas_jugador].[900 min].[All]" dimensionUniqueName="[Estadisticas_jugador]" displayFolder="" count="0" memberValueDatatype="130" unbalanced="0"/>
    <cacheHierarchy uniqueName="[Estadisticas_jugador].[goals]" caption="goals" attribute="1" defaultMemberUniqueName="[Estadisticas_jugador].[goals].[All]" allUniqueName="[Estadisticas_jugador].[goals].[All]" dimensionUniqueName="[Estadisticas_jugador]" displayFolder="" count="0" memberValueDatatype="20" unbalanced="0"/>
    <cacheHierarchy uniqueName="[Estadisticas_jugador].[assists]" caption="assists" attribute="1" defaultMemberUniqueName="[Estadisticas_jugador].[assists].[All]" allUniqueName="[Estadisticas_jugador].[assists].[All]" dimensionUniqueName="[Estadisticas_jugador]" displayFolder="" count="0" memberValueDatatype="20" unbalanced="0"/>
    <cacheHierarchy uniqueName="[Estadisticas_jugador].[expected_goals]" caption="expected_goals" attribute="1" defaultMemberUniqueName="[Estadisticas_jugador].[expected_goals].[All]" allUniqueName="[Estadisticas_jugador].[expected_goals].[All]" dimensionUniqueName="[Estadisticas_jugador]" displayFolder="" count="0" memberValueDatatype="5" unbalanced="0"/>
    <cacheHierarchy uniqueName="[Estadisticas_jugador].[expected_assists]" caption="expected_assists" attribute="1" defaultMemberUniqueName="[Estadisticas_jugador].[expected_assists].[All]" allUniqueName="[Estadisticas_jugador].[expected_assists].[All]" dimensionUniqueName="[Estadisticas_jugador]" displayFolder="" count="0" memberValueDatatype="5" unbalanced="0"/>
    <cacheHierarchy uniqueName="[Estadisticas_jugador].[rating]" caption="rating" attribute="1" defaultMemberUniqueName="[Estadisticas_jugador].[rating].[All]" allUniqueName="[Estadisticas_jugador].[rating].[All]" dimensionUniqueName="[Estadisticas_jugador]" displayFolder="" count="0" memberValueDatatype="5" unbalanced="0"/>
    <cacheHierarchy uniqueName="[Estadisticas_jugador].[total_shots]" caption="total_shots" attribute="1" defaultMemberUniqueName="[Estadisticas_jugador].[total_shots].[All]" allUniqueName="[Estadisticas_jugador].[total_shots].[All]" dimensionUniqueName="[Estadisticas_jugador]" displayFolder="" count="0" memberValueDatatype="20" unbalanced="0"/>
    <cacheHierarchy uniqueName="[Estadisticas_jugador].[shots_on_target]" caption="shots_on_target" attribute="1" defaultMemberUniqueName="[Estadisticas_jugador].[shots_on_target].[All]" allUniqueName="[Estadisticas_jugador].[shots_on_target].[All]" dimensionUniqueName="[Estadisticas_jugador]" displayFolder="" count="0" memberValueDatatype="20" unbalanced="0"/>
    <cacheHierarchy uniqueName="[Estadisticas_jugador].[yellow_cards]" caption="yellow_cards" attribute="1" defaultMemberUniqueName="[Estadisticas_jugador].[yellow_cards].[All]" allUniqueName="[Estadisticas_jugador].[yellow_cards].[All]" dimensionUniqueName="[Estadisticas_jugador]" displayFolder="" count="0" memberValueDatatype="20" unbalanced="0"/>
    <cacheHierarchy uniqueName="[Estadisticas_jugador].[red_cards]" caption="red_cards" attribute="1" defaultMemberUniqueName="[Estadisticas_jugador].[red_cards].[All]" allUniqueName="[Estadisticas_jugador].[red_cards].[All]" dimensionUniqueName="[Estadisticas_jugador]" displayFolder="" count="0" memberValueDatatype="20" unbalanced="0"/>
    <cacheHierarchy uniqueName="[Estadisticas_jugador].[tackles]" caption="tackles" attribute="1" defaultMemberUniqueName="[Estadisticas_jugador].[tackles].[All]" allUniqueName="[Estadisticas_jugador].[tackles].[All]" dimensionUniqueName="[Estadisticas_jugador]" displayFolder="" count="0" memberValueDatatype="20" unbalanced="0"/>
    <cacheHierarchy uniqueName="[Estadisticas_jugador].[interceptions]" caption="interceptions" attribute="1" defaultMemberUniqueName="[Estadisticas_jugador].[interceptions].[All]" allUniqueName="[Estadisticas_jugador].[interceptions].[All]" dimensionUniqueName="[Estadisticas_jugador]" displayFolder="" count="0" memberValueDatatype="20" unbalanced="0"/>
    <cacheHierarchy uniqueName="[Estadisticas_jugador].[tackles_e_intercepciones]" caption="tackles_e_intercepciones" attribute="1" defaultMemberUniqueName="[Estadisticas_jugador].[tackles_e_intercepciones].[All]" allUniqueName="[Estadisticas_jugador].[tackles_e_intercepciones].[All]" dimensionUniqueName="[Estadisticas_jugador]" displayFolder="" count="0" memberValueDatatype="20" unbalanced="0"/>
    <cacheHierarchy uniqueName="[Estadisticas_jugador].[saves]" caption="saves" attribute="1" defaultMemberUniqueName="[Estadisticas_jugador].[saves].[All]" allUniqueName="[Estadisticas_jugador].[saves].[All]" dimensionUniqueName="[Estadisticas_jugador]" displayFolder="" count="0" memberValueDatatype="20" unbalanced="0"/>
    <cacheHierarchy uniqueName="[Perfiles_jugador].[player_id]" caption="player_id" attribute="1" defaultMemberUniqueName="[Perfiles_jugador].[player_id].[All]" allUniqueName="[Perfiles_jugador].[player_id].[All]" dimensionUniqueName="[Perfiles_jugador]" displayFolder="" count="0" memberValueDatatype="20" unbalanced="0"/>
    <cacheHierarchy uniqueName="[Perfiles_jugador].[name]" caption="name" attribute="1" defaultMemberUniqueName="[Perfiles_jugador].[name].[All]" allUniqueName="[Perfiles_jugador].[name].[All]" dimensionUniqueName="[Perfiles_jugador]" displayFolder="" count="2" memberValueDatatype="130" unbalanced="0">
      <fieldsUsage count="2">
        <fieldUsage x="-1"/>
        <fieldUsage x="0"/>
      </fieldsUsage>
    </cacheHierarchy>
    <cacheHierarchy uniqueName="[Perfiles_jugador].[league]" caption="league" attribute="1" defaultMemberUniqueName="[Perfiles_jugador].[league].[All]" allUniqueName="[Perfiles_jugador].[league].[All]" dimensionUniqueName="[Perfiles_jugador]" displayFolder="" count="0" memberValueDatatype="130" unbalanced="0"/>
    <cacheHierarchy uniqueName="[Perfiles_jugador].[position]" caption="position" attribute="1" defaultMemberUniqueName="[Perfiles_jugador].[position].[All]" allUniqueName="[Perfiles_jugador].[position].[All]" dimensionUniqueName="[Perfiles_jugador]" displayFolder="" count="2" memberValueDatatype="130" unbalanced="0">
      <fieldsUsage count="2">
        <fieldUsage x="-1"/>
        <fieldUsage x="4"/>
      </fieldsUsage>
    </cacheHierarchy>
    <cacheHierarchy uniqueName="[Perfiles_jugador].[market_value]" caption="market_value" attribute="1" defaultMemberUniqueName="[Perfiles_jugador].[market_value].[All]" allUniqueName="[Perfiles_jugador].[market_value].[All]" dimensionUniqueName="[Perfiles_jugador]" displayFolder="" count="0" memberValueDatatype="20" unbalanced="0"/>
    <cacheHierarchy uniqueName="[Perfiles_jugador].[valor_mercado]" caption="valor_mercado" attribute="1" defaultMemberUniqueName="[Perfiles_jugador].[valor_mercado].[All]" allUniqueName="[Perfiles_jugador].[valor_mercado].[All]" dimensionUniqueName="[Perfiles_jugador]" displayFolder="" count="0" memberValueDatatype="5" unbalanced="0"/>
    <cacheHierarchy uniqueName="[Measures].[__XL_Count Perfiles_jugador]" caption="__XL_Count Perfiles_jugador" measure="1" displayFolder="" measureGroup="Perfiles_jugador" count="0" hidden="1"/>
    <cacheHierarchy uniqueName="[Measures].[__XL_Count Estadisticas_jugador]" caption="__XL_Count Estadisticas_jugador" measure="1" displayFolder="" measureGroup="Estadisticas_jugador" count="0" hidden="1"/>
    <cacheHierarchy uniqueName="[Measures].[__No measures defined]" caption="__No measures defined" measure="1" displayFolder="" count="0" hidden="1"/>
    <cacheHierarchy uniqueName="[Measures].[Suma de market_value]" caption="Suma de market_value" measure="1" displayFolder="" measureGroup="Perfiles_jugador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valor_mercado]" caption="Suma de valor_mercado" measure="1" displayFolder="" measureGroup="Perfiles_jugado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Promedio de valor_mercado]" caption="Promedio de valor_mercado" measure="1" displayFolder="" measureGroup="Perfiles_jugado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rating]" caption="Suma de rating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rating]" caption="Promedio de rating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goals]" caption="Suma de goal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assists]" caption="Suma de assist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expected_assists]" caption="Suma de expected_assist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expected_goals]" caption="Suma de expected_goal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minutes_played]" caption="Suma de minutes_played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tackles]" caption="Suma de tackles" measure="1" displayFolder="" measureGroup="Estadisticas_jugador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interceptions]" caption="Suma de interceptions" measure="1" displayFolder="" measureGroup="Estadisticas_jugado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tackles_e_intercepciones]" caption="Suma de tackles_e_intercepciones" measure="1" displayFolder="" measureGroup="Estadisticas_jugado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saves]" caption="Suma de save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3">
    <dimension name="Estadisticas_jugador" uniqueName="[Estadisticas_jugador]" caption="Estadisticas_jugador"/>
    <dimension measure="1" name="Measures" uniqueName="[Measures]" caption="Measures"/>
    <dimension name="Perfiles_jugador" uniqueName="[Perfiles_jugador]" caption="Perfiles_jugador"/>
  </dimensions>
  <measureGroups count="2">
    <measureGroup name="Estadisticas_jugador" caption="Estadisticas_jugador"/>
    <measureGroup name="Perfiles_jugador" caption="Perfiles_jugador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 chicharro" refreshedDate="46294.785531481481" backgroundQuery="1" createdVersion="8" refreshedVersion="8" minRefreshableVersion="3" recordCount="0" supportSubquery="1" supportAdvancedDrill="1" xr:uid="{2C90C2D4-79DF-4835-BDD3-BD3EA219B918}">
  <cacheSource type="external" connectionId="3"/>
  <cacheFields count="5">
    <cacheField name="[Estadisticas_jugador].[player_id].[player_id]" caption="player_id" numFmtId="0" level="1">
      <sharedItems count="5">
        <s v="1402912"/>
        <s v="310874"/>
        <s v="37318"/>
        <s v="823622"/>
        <s v="826643"/>
      </sharedItems>
    </cacheField>
    <cacheField name="[Measures].[Suma de goals]" caption="Suma de goals" numFmtId="0" hierarchy="33" level="32767"/>
    <cacheField name="[Perfiles_jugador].[name].[name]" caption="name" numFmtId="0" hierarchy="20" level="1">
      <sharedItems count="5">
        <s v="Ante Budimir"/>
        <s v="Ferran Torres"/>
        <s v="Kylian Mbappé"/>
        <s v="Lamine Yamal"/>
        <s v="Vedat Muriqi"/>
      </sharedItems>
    </cacheField>
    <cacheField name="[Measures].[Suma de expected_goals]" caption="Suma de expected_goals" numFmtId="0" hierarchy="36" level="32767"/>
    <cacheField name="[Perfiles_jugador].[position].[position]" caption="position" numFmtId="0" hierarchy="22" level="1">
      <sharedItems containsSemiMixedTypes="0" containsNonDate="0" containsString="0"/>
    </cacheField>
  </cacheFields>
  <cacheHierarchies count="42">
    <cacheHierarchy uniqueName="[Estadisticas_jugador].[player_id]" caption="player_id" attribute="1" defaultMemberUniqueName="[Estadisticas_jugador].[player_id].[All]" allUniqueName="[Estadisticas_jugador].[player_id].[All]" dimensionUniqueName="[Estadisticas_jugador]" displayFolder="" count="2" memberValueDatatype="130" unbalanced="0">
      <fieldsUsage count="2">
        <fieldUsage x="-1"/>
        <fieldUsage x="0"/>
      </fieldsUsage>
    </cacheHierarchy>
    <cacheHierarchy uniqueName="[Estadisticas_jugador].[league]" caption="league" attribute="1" defaultMemberUniqueName="[Estadisticas_jugador].[league].[All]" allUniqueName="[Estadisticas_jugador].[league].[All]" dimensionUniqueName="[Estadisticas_jugador]" displayFolder="" count="0" memberValueDatatype="130" unbalanced="0"/>
    <cacheHierarchy uniqueName="[Estadisticas_jugador].[appearances]" caption="appearances" attribute="1" defaultMemberUniqueName="[Estadisticas_jugador].[appearances].[All]" allUniqueName="[Estadisticas_jugador].[appearances].[All]" dimensionUniqueName="[Estadisticas_jugador]" displayFolder="" count="0" memberValueDatatype="20" unbalanced="0"/>
    <cacheHierarchy uniqueName="[Estadisticas_jugador].[matches_started]" caption="matches_started" attribute="1" defaultMemberUniqueName="[Estadisticas_jugador].[matches_started].[All]" allUniqueName="[Estadisticas_jugador].[matches_started].[All]" dimensionUniqueName="[Estadisticas_jugador]" displayFolder="" count="0" memberValueDatatype="20" unbalanced="0"/>
    <cacheHierarchy uniqueName="[Estadisticas_jugador].[minutes_played]" caption="minutes_played" attribute="1" defaultMemberUniqueName="[Estadisticas_jugador].[minutes_played].[All]" allUniqueName="[Estadisticas_jugador].[minutes_played].[All]" dimensionUniqueName="[Estadisticas_jugador]" displayFolder="" count="0" memberValueDatatype="20" unbalanced="0"/>
    <cacheHierarchy uniqueName="[Estadisticas_jugador].[900 min]" caption="900 min" attribute="1" defaultMemberUniqueName="[Estadisticas_jugador].[900 min].[All]" allUniqueName="[Estadisticas_jugador].[900 min].[All]" dimensionUniqueName="[Estadisticas_jugador]" displayFolder="" count="0" memberValueDatatype="130" unbalanced="0"/>
    <cacheHierarchy uniqueName="[Estadisticas_jugador].[goals]" caption="goals" attribute="1" defaultMemberUniqueName="[Estadisticas_jugador].[goals].[All]" allUniqueName="[Estadisticas_jugador].[goals].[All]" dimensionUniqueName="[Estadisticas_jugador]" displayFolder="" count="0" memberValueDatatype="20" unbalanced="0"/>
    <cacheHierarchy uniqueName="[Estadisticas_jugador].[assists]" caption="assists" attribute="1" defaultMemberUniqueName="[Estadisticas_jugador].[assists].[All]" allUniqueName="[Estadisticas_jugador].[assists].[All]" dimensionUniqueName="[Estadisticas_jugador]" displayFolder="" count="0" memberValueDatatype="20" unbalanced="0"/>
    <cacheHierarchy uniqueName="[Estadisticas_jugador].[expected_goals]" caption="expected_goals" attribute="1" defaultMemberUniqueName="[Estadisticas_jugador].[expected_goals].[All]" allUniqueName="[Estadisticas_jugador].[expected_goals].[All]" dimensionUniqueName="[Estadisticas_jugador]" displayFolder="" count="0" memberValueDatatype="5" unbalanced="0"/>
    <cacheHierarchy uniqueName="[Estadisticas_jugador].[expected_assists]" caption="expected_assists" attribute="1" defaultMemberUniqueName="[Estadisticas_jugador].[expected_assists].[All]" allUniqueName="[Estadisticas_jugador].[expected_assists].[All]" dimensionUniqueName="[Estadisticas_jugador]" displayFolder="" count="0" memberValueDatatype="5" unbalanced="0"/>
    <cacheHierarchy uniqueName="[Estadisticas_jugador].[rating]" caption="rating" attribute="1" defaultMemberUniqueName="[Estadisticas_jugador].[rating].[All]" allUniqueName="[Estadisticas_jugador].[rating].[All]" dimensionUniqueName="[Estadisticas_jugador]" displayFolder="" count="0" memberValueDatatype="5" unbalanced="0"/>
    <cacheHierarchy uniqueName="[Estadisticas_jugador].[total_shots]" caption="total_shots" attribute="1" defaultMemberUniqueName="[Estadisticas_jugador].[total_shots].[All]" allUniqueName="[Estadisticas_jugador].[total_shots].[All]" dimensionUniqueName="[Estadisticas_jugador]" displayFolder="" count="0" memberValueDatatype="20" unbalanced="0"/>
    <cacheHierarchy uniqueName="[Estadisticas_jugador].[shots_on_target]" caption="shots_on_target" attribute="1" defaultMemberUniqueName="[Estadisticas_jugador].[shots_on_target].[All]" allUniqueName="[Estadisticas_jugador].[shots_on_target].[All]" dimensionUniqueName="[Estadisticas_jugador]" displayFolder="" count="0" memberValueDatatype="20" unbalanced="0"/>
    <cacheHierarchy uniqueName="[Estadisticas_jugador].[yellow_cards]" caption="yellow_cards" attribute="1" defaultMemberUniqueName="[Estadisticas_jugador].[yellow_cards].[All]" allUniqueName="[Estadisticas_jugador].[yellow_cards].[All]" dimensionUniqueName="[Estadisticas_jugador]" displayFolder="" count="0" memberValueDatatype="20" unbalanced="0"/>
    <cacheHierarchy uniqueName="[Estadisticas_jugador].[red_cards]" caption="red_cards" attribute="1" defaultMemberUniqueName="[Estadisticas_jugador].[red_cards].[All]" allUniqueName="[Estadisticas_jugador].[red_cards].[All]" dimensionUniqueName="[Estadisticas_jugador]" displayFolder="" count="0" memberValueDatatype="20" unbalanced="0"/>
    <cacheHierarchy uniqueName="[Estadisticas_jugador].[tackles]" caption="tackles" attribute="1" defaultMemberUniqueName="[Estadisticas_jugador].[tackles].[All]" allUniqueName="[Estadisticas_jugador].[tackles].[All]" dimensionUniqueName="[Estadisticas_jugador]" displayFolder="" count="0" memberValueDatatype="20" unbalanced="0"/>
    <cacheHierarchy uniqueName="[Estadisticas_jugador].[interceptions]" caption="interceptions" attribute="1" defaultMemberUniqueName="[Estadisticas_jugador].[interceptions].[All]" allUniqueName="[Estadisticas_jugador].[interceptions].[All]" dimensionUniqueName="[Estadisticas_jugador]" displayFolder="" count="0" memberValueDatatype="20" unbalanced="0"/>
    <cacheHierarchy uniqueName="[Estadisticas_jugador].[tackles_e_intercepciones]" caption="tackles_e_intercepciones" attribute="1" defaultMemberUniqueName="[Estadisticas_jugador].[tackles_e_intercepciones].[All]" allUniqueName="[Estadisticas_jugador].[tackles_e_intercepciones].[All]" dimensionUniqueName="[Estadisticas_jugador]" displayFolder="" count="0" memberValueDatatype="20" unbalanced="0"/>
    <cacheHierarchy uniqueName="[Estadisticas_jugador].[saves]" caption="saves" attribute="1" defaultMemberUniqueName="[Estadisticas_jugador].[saves].[All]" allUniqueName="[Estadisticas_jugador].[saves].[All]" dimensionUniqueName="[Estadisticas_jugador]" displayFolder="" count="0" memberValueDatatype="20" unbalanced="0"/>
    <cacheHierarchy uniqueName="[Perfiles_jugador].[player_id]" caption="player_id" attribute="1" defaultMemberUniqueName="[Perfiles_jugador].[player_id].[All]" allUniqueName="[Perfiles_jugador].[player_id].[All]" dimensionUniqueName="[Perfiles_jugador]" displayFolder="" count="0" memberValueDatatype="20" unbalanced="0"/>
    <cacheHierarchy uniqueName="[Perfiles_jugador].[name]" caption="name" attribute="1" defaultMemberUniqueName="[Perfiles_jugador].[name].[All]" allUniqueName="[Perfiles_jugador].[name].[All]" dimensionUniqueName="[Perfiles_jugador]" displayFolder="" count="2" memberValueDatatype="130" unbalanced="0">
      <fieldsUsage count="2">
        <fieldUsage x="-1"/>
        <fieldUsage x="2"/>
      </fieldsUsage>
    </cacheHierarchy>
    <cacheHierarchy uniqueName="[Perfiles_jugador].[league]" caption="league" attribute="1" defaultMemberUniqueName="[Perfiles_jugador].[league].[All]" allUniqueName="[Perfiles_jugador].[league].[All]" dimensionUniqueName="[Perfiles_jugador]" displayFolder="" count="0" memberValueDatatype="130" unbalanced="0"/>
    <cacheHierarchy uniqueName="[Perfiles_jugador].[position]" caption="position" attribute="1" defaultMemberUniqueName="[Perfiles_jugador].[position].[All]" allUniqueName="[Perfiles_jugador].[position].[All]" dimensionUniqueName="[Perfiles_jugador]" displayFolder="" count="2" memberValueDatatype="130" unbalanced="0">
      <fieldsUsage count="2">
        <fieldUsage x="-1"/>
        <fieldUsage x="4"/>
      </fieldsUsage>
    </cacheHierarchy>
    <cacheHierarchy uniqueName="[Perfiles_jugador].[market_value]" caption="market_value" attribute="1" defaultMemberUniqueName="[Perfiles_jugador].[market_value].[All]" allUniqueName="[Perfiles_jugador].[market_value].[All]" dimensionUniqueName="[Perfiles_jugador]" displayFolder="" count="0" memberValueDatatype="20" unbalanced="0"/>
    <cacheHierarchy uniqueName="[Perfiles_jugador].[valor_mercado]" caption="valor_mercado" attribute="1" defaultMemberUniqueName="[Perfiles_jugador].[valor_mercado].[All]" allUniqueName="[Perfiles_jugador].[valor_mercado].[All]" dimensionUniqueName="[Perfiles_jugador]" displayFolder="" count="0" memberValueDatatype="5" unbalanced="0"/>
    <cacheHierarchy uniqueName="[Measures].[__XL_Count Perfiles_jugador]" caption="__XL_Count Perfiles_jugador" measure="1" displayFolder="" measureGroup="Perfiles_jugador" count="0" hidden="1"/>
    <cacheHierarchy uniqueName="[Measures].[__XL_Count Estadisticas_jugador]" caption="__XL_Count Estadisticas_jugador" measure="1" displayFolder="" measureGroup="Estadisticas_jugador" count="0" hidden="1"/>
    <cacheHierarchy uniqueName="[Measures].[__No measures defined]" caption="__No measures defined" measure="1" displayFolder="" count="0" hidden="1"/>
    <cacheHierarchy uniqueName="[Measures].[Suma de market_value]" caption="Suma de market_value" measure="1" displayFolder="" measureGroup="Perfiles_jugador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valor_mercado]" caption="Suma de valor_mercado" measure="1" displayFolder="" measureGroup="Perfiles_jugado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Promedio de valor_mercado]" caption="Promedio de valor_mercado" measure="1" displayFolder="" measureGroup="Perfiles_jugado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rating]" caption="Suma de rating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rating]" caption="Promedio de rating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goals]" caption="Suma de goals" measure="1" displayFolder="" measureGroup="Estadisticas_jugado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assists]" caption="Suma de assist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expected_assists]" caption="Suma de expected_assist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expected_goals]" caption="Suma de expected_goals" measure="1" displayFolder="" measureGroup="Estadisticas_jugador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minutes_played]" caption="Suma de minutes_played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tackles]" caption="Suma de tackle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interceptions]" caption="Suma de interception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tackles_e_intercepciones]" caption="Suma de tackles_e_intercepcione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saves]" caption="Suma de save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3">
    <dimension name="Estadisticas_jugador" uniqueName="[Estadisticas_jugador]" caption="Estadisticas_jugador"/>
    <dimension measure="1" name="Measures" uniqueName="[Measures]" caption="Measures"/>
    <dimension name="Perfiles_jugador" uniqueName="[Perfiles_jugador]" caption="Perfiles_jugador"/>
  </dimensions>
  <measureGroups count="2">
    <measureGroup name="Estadisticas_jugador" caption="Estadisticas_jugador"/>
    <measureGroup name="Perfiles_jugador" caption="Perfiles_jugador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 chicharro" refreshedDate="46294.785532060188" backgroundQuery="1" createdVersion="8" refreshedVersion="8" minRefreshableVersion="3" recordCount="0" supportSubquery="1" supportAdvancedDrill="1" xr:uid="{72F3AA96-F301-4440-8997-12469A72C5C4}">
  <cacheSource type="external" connectionId="3"/>
  <cacheFields count="4">
    <cacheField name="[Perfiles_jugador].[name].[name]" caption="name" numFmtId="0" hierarchy="20" level="1">
      <sharedItems count="5">
        <s v="Arda Güler"/>
        <s v="Federico Valverde"/>
        <s v="Fermín López"/>
        <s v="Lamine Yamal"/>
        <s v="Luis Milla"/>
      </sharedItems>
    </cacheField>
    <cacheField name="[Measures].[Suma de assists]" caption="Suma de assists" numFmtId="0" hierarchy="34" level="32767"/>
    <cacheField name="[Measures].[Suma de expected_assists]" caption="Suma de expected_assists" numFmtId="0" hierarchy="35" level="32767"/>
    <cacheField name="[Perfiles_jugador].[position].[position]" caption="position" numFmtId="0" hierarchy="22" level="1">
      <sharedItems containsSemiMixedTypes="0" containsNonDate="0" containsString="0"/>
    </cacheField>
  </cacheFields>
  <cacheHierarchies count="42">
    <cacheHierarchy uniqueName="[Estadisticas_jugador].[player_id]" caption="player_id" attribute="1" defaultMemberUniqueName="[Estadisticas_jugador].[player_id].[All]" allUniqueName="[Estadisticas_jugador].[player_id].[All]" dimensionUniqueName="[Estadisticas_jugador]" displayFolder="" count="0" memberValueDatatype="130" unbalanced="0"/>
    <cacheHierarchy uniqueName="[Estadisticas_jugador].[league]" caption="league" attribute="1" defaultMemberUniqueName="[Estadisticas_jugador].[league].[All]" allUniqueName="[Estadisticas_jugador].[league].[All]" dimensionUniqueName="[Estadisticas_jugador]" displayFolder="" count="0" memberValueDatatype="130" unbalanced="0"/>
    <cacheHierarchy uniqueName="[Estadisticas_jugador].[appearances]" caption="appearances" attribute="1" defaultMemberUniqueName="[Estadisticas_jugador].[appearances].[All]" allUniqueName="[Estadisticas_jugador].[appearances].[All]" dimensionUniqueName="[Estadisticas_jugador]" displayFolder="" count="0" memberValueDatatype="20" unbalanced="0"/>
    <cacheHierarchy uniqueName="[Estadisticas_jugador].[matches_started]" caption="matches_started" attribute="1" defaultMemberUniqueName="[Estadisticas_jugador].[matches_started].[All]" allUniqueName="[Estadisticas_jugador].[matches_started].[All]" dimensionUniqueName="[Estadisticas_jugador]" displayFolder="" count="0" memberValueDatatype="20" unbalanced="0"/>
    <cacheHierarchy uniqueName="[Estadisticas_jugador].[minutes_played]" caption="minutes_played" attribute="1" defaultMemberUniqueName="[Estadisticas_jugador].[minutes_played].[All]" allUniqueName="[Estadisticas_jugador].[minutes_played].[All]" dimensionUniqueName="[Estadisticas_jugador]" displayFolder="" count="0" memberValueDatatype="20" unbalanced="0"/>
    <cacheHierarchy uniqueName="[Estadisticas_jugador].[900 min]" caption="900 min" attribute="1" defaultMemberUniqueName="[Estadisticas_jugador].[900 min].[All]" allUniqueName="[Estadisticas_jugador].[900 min].[All]" dimensionUniqueName="[Estadisticas_jugador]" displayFolder="" count="0" memberValueDatatype="130" unbalanced="0"/>
    <cacheHierarchy uniqueName="[Estadisticas_jugador].[goals]" caption="goals" attribute="1" defaultMemberUniqueName="[Estadisticas_jugador].[goals].[All]" allUniqueName="[Estadisticas_jugador].[goals].[All]" dimensionUniqueName="[Estadisticas_jugador]" displayFolder="" count="0" memberValueDatatype="20" unbalanced="0"/>
    <cacheHierarchy uniqueName="[Estadisticas_jugador].[assists]" caption="assists" attribute="1" defaultMemberUniqueName="[Estadisticas_jugador].[assists].[All]" allUniqueName="[Estadisticas_jugador].[assists].[All]" dimensionUniqueName="[Estadisticas_jugador]" displayFolder="" count="0" memberValueDatatype="20" unbalanced="0"/>
    <cacheHierarchy uniqueName="[Estadisticas_jugador].[expected_goals]" caption="expected_goals" attribute="1" defaultMemberUniqueName="[Estadisticas_jugador].[expected_goals].[All]" allUniqueName="[Estadisticas_jugador].[expected_goals].[All]" dimensionUniqueName="[Estadisticas_jugador]" displayFolder="" count="0" memberValueDatatype="5" unbalanced="0"/>
    <cacheHierarchy uniqueName="[Estadisticas_jugador].[expected_assists]" caption="expected_assists" attribute="1" defaultMemberUniqueName="[Estadisticas_jugador].[expected_assists].[All]" allUniqueName="[Estadisticas_jugador].[expected_assists].[All]" dimensionUniqueName="[Estadisticas_jugador]" displayFolder="" count="0" memberValueDatatype="5" unbalanced="0"/>
    <cacheHierarchy uniqueName="[Estadisticas_jugador].[rating]" caption="rating" attribute="1" defaultMemberUniqueName="[Estadisticas_jugador].[rating].[All]" allUniqueName="[Estadisticas_jugador].[rating].[All]" dimensionUniqueName="[Estadisticas_jugador]" displayFolder="" count="0" memberValueDatatype="5" unbalanced="0"/>
    <cacheHierarchy uniqueName="[Estadisticas_jugador].[total_shots]" caption="total_shots" attribute="1" defaultMemberUniqueName="[Estadisticas_jugador].[total_shots].[All]" allUniqueName="[Estadisticas_jugador].[total_shots].[All]" dimensionUniqueName="[Estadisticas_jugador]" displayFolder="" count="0" memberValueDatatype="20" unbalanced="0"/>
    <cacheHierarchy uniqueName="[Estadisticas_jugador].[shots_on_target]" caption="shots_on_target" attribute="1" defaultMemberUniqueName="[Estadisticas_jugador].[shots_on_target].[All]" allUniqueName="[Estadisticas_jugador].[shots_on_target].[All]" dimensionUniqueName="[Estadisticas_jugador]" displayFolder="" count="0" memberValueDatatype="20" unbalanced="0"/>
    <cacheHierarchy uniqueName="[Estadisticas_jugador].[yellow_cards]" caption="yellow_cards" attribute="1" defaultMemberUniqueName="[Estadisticas_jugador].[yellow_cards].[All]" allUniqueName="[Estadisticas_jugador].[yellow_cards].[All]" dimensionUniqueName="[Estadisticas_jugador]" displayFolder="" count="0" memberValueDatatype="20" unbalanced="0"/>
    <cacheHierarchy uniqueName="[Estadisticas_jugador].[red_cards]" caption="red_cards" attribute="1" defaultMemberUniqueName="[Estadisticas_jugador].[red_cards].[All]" allUniqueName="[Estadisticas_jugador].[red_cards].[All]" dimensionUniqueName="[Estadisticas_jugador]" displayFolder="" count="0" memberValueDatatype="20" unbalanced="0"/>
    <cacheHierarchy uniqueName="[Estadisticas_jugador].[tackles]" caption="tackles" attribute="1" defaultMemberUniqueName="[Estadisticas_jugador].[tackles].[All]" allUniqueName="[Estadisticas_jugador].[tackles].[All]" dimensionUniqueName="[Estadisticas_jugador]" displayFolder="" count="0" memberValueDatatype="20" unbalanced="0"/>
    <cacheHierarchy uniqueName="[Estadisticas_jugador].[interceptions]" caption="interceptions" attribute="1" defaultMemberUniqueName="[Estadisticas_jugador].[interceptions].[All]" allUniqueName="[Estadisticas_jugador].[interceptions].[All]" dimensionUniqueName="[Estadisticas_jugador]" displayFolder="" count="0" memberValueDatatype="20" unbalanced="0"/>
    <cacheHierarchy uniqueName="[Estadisticas_jugador].[tackles_e_intercepciones]" caption="tackles_e_intercepciones" attribute="1" defaultMemberUniqueName="[Estadisticas_jugador].[tackles_e_intercepciones].[All]" allUniqueName="[Estadisticas_jugador].[tackles_e_intercepciones].[All]" dimensionUniqueName="[Estadisticas_jugador]" displayFolder="" count="0" memberValueDatatype="20" unbalanced="0"/>
    <cacheHierarchy uniqueName="[Estadisticas_jugador].[saves]" caption="saves" attribute="1" defaultMemberUniqueName="[Estadisticas_jugador].[saves].[All]" allUniqueName="[Estadisticas_jugador].[saves].[All]" dimensionUniqueName="[Estadisticas_jugador]" displayFolder="" count="0" memberValueDatatype="20" unbalanced="0"/>
    <cacheHierarchy uniqueName="[Perfiles_jugador].[player_id]" caption="player_id" attribute="1" defaultMemberUniqueName="[Perfiles_jugador].[player_id].[All]" allUniqueName="[Perfiles_jugador].[player_id].[All]" dimensionUniqueName="[Perfiles_jugador]" displayFolder="" count="0" memberValueDatatype="20" unbalanced="0"/>
    <cacheHierarchy uniqueName="[Perfiles_jugador].[name]" caption="name" attribute="1" defaultMemberUniqueName="[Perfiles_jugador].[name].[All]" allUniqueName="[Perfiles_jugador].[name].[All]" dimensionUniqueName="[Perfiles_jugador]" displayFolder="" count="2" memberValueDatatype="130" unbalanced="0">
      <fieldsUsage count="2">
        <fieldUsage x="-1"/>
        <fieldUsage x="0"/>
      </fieldsUsage>
    </cacheHierarchy>
    <cacheHierarchy uniqueName="[Perfiles_jugador].[league]" caption="league" attribute="1" defaultMemberUniqueName="[Perfiles_jugador].[league].[All]" allUniqueName="[Perfiles_jugador].[league].[All]" dimensionUniqueName="[Perfiles_jugador]" displayFolder="" count="0" memberValueDatatype="130" unbalanced="0"/>
    <cacheHierarchy uniqueName="[Perfiles_jugador].[position]" caption="position" attribute="1" defaultMemberUniqueName="[Perfiles_jugador].[position].[All]" allUniqueName="[Perfiles_jugador].[position].[All]" dimensionUniqueName="[Perfiles_jugador]" displayFolder="" count="2" memberValueDatatype="130" unbalanced="0">
      <fieldsUsage count="2">
        <fieldUsage x="-1"/>
        <fieldUsage x="3"/>
      </fieldsUsage>
    </cacheHierarchy>
    <cacheHierarchy uniqueName="[Perfiles_jugador].[market_value]" caption="market_value" attribute="1" defaultMemberUniqueName="[Perfiles_jugador].[market_value].[All]" allUniqueName="[Perfiles_jugador].[market_value].[All]" dimensionUniqueName="[Perfiles_jugador]" displayFolder="" count="0" memberValueDatatype="20" unbalanced="0"/>
    <cacheHierarchy uniqueName="[Perfiles_jugador].[valor_mercado]" caption="valor_mercado" attribute="1" defaultMemberUniqueName="[Perfiles_jugador].[valor_mercado].[All]" allUniqueName="[Perfiles_jugador].[valor_mercado].[All]" dimensionUniqueName="[Perfiles_jugador]" displayFolder="" count="0" memberValueDatatype="5" unbalanced="0"/>
    <cacheHierarchy uniqueName="[Measures].[__XL_Count Perfiles_jugador]" caption="__XL_Count Perfiles_jugador" measure="1" displayFolder="" measureGroup="Perfiles_jugador" count="0" hidden="1"/>
    <cacheHierarchy uniqueName="[Measures].[__XL_Count Estadisticas_jugador]" caption="__XL_Count Estadisticas_jugador" measure="1" displayFolder="" measureGroup="Estadisticas_jugador" count="0" hidden="1"/>
    <cacheHierarchy uniqueName="[Measures].[__No measures defined]" caption="__No measures defined" measure="1" displayFolder="" count="0" hidden="1"/>
    <cacheHierarchy uniqueName="[Measures].[Suma de market_value]" caption="Suma de market_value" measure="1" displayFolder="" measureGroup="Perfiles_jugador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valor_mercado]" caption="Suma de valor_mercado" measure="1" displayFolder="" measureGroup="Perfiles_jugado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Promedio de valor_mercado]" caption="Promedio de valor_mercado" measure="1" displayFolder="" measureGroup="Perfiles_jugado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rating]" caption="Suma de rating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rating]" caption="Promedio de rating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goals]" caption="Suma de goal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assists]" caption="Suma de assists" measure="1" displayFolder="" measureGroup="Estadisticas_jugado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expected_assists]" caption="Suma de expected_assists" measure="1" displayFolder="" measureGroup="Estadisticas_jugado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expected_goals]" caption="Suma de expected_goal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minutes_played]" caption="Suma de minutes_played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tackles]" caption="Suma de tackle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interceptions]" caption="Suma de interception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tackles_e_intercepciones]" caption="Suma de tackles_e_intercepcione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saves]" caption="Suma de save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3">
    <dimension name="Estadisticas_jugador" uniqueName="[Estadisticas_jugador]" caption="Estadisticas_jugador"/>
    <dimension measure="1" name="Measures" uniqueName="[Measures]" caption="Measures"/>
    <dimension name="Perfiles_jugador" uniqueName="[Perfiles_jugador]" caption="Perfiles_jugador"/>
  </dimensions>
  <measureGroups count="2">
    <measureGroup name="Estadisticas_jugador" caption="Estadisticas_jugador"/>
    <measureGroup name="Perfiles_jugador" caption="Perfiles_jugador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 chicharro" refreshedDate="46294.785532407404" backgroundQuery="1" createdVersion="8" refreshedVersion="8" minRefreshableVersion="3" recordCount="0" supportSubquery="1" supportAdvancedDrill="1" xr:uid="{49F89ADA-12FB-4D22-8242-A084B689157C}">
  <cacheSource type="external" connectionId="3"/>
  <cacheFields count="3">
    <cacheField name="[Perfiles_jugador].[name].[name]" caption="name" numFmtId="0" hierarchy="20" level="1">
      <sharedItems count="5">
        <s v="Jude Bellingham"/>
        <s v="Kylian Mbappé"/>
        <s v="Lamine Yamal"/>
        <s v="Pedri"/>
        <s v="Vinicius Júnior"/>
      </sharedItems>
    </cacheField>
    <cacheField name="[Measures].[Suma de valor_mercado]" caption="Suma de valor_mercado" numFmtId="0" hierarchy="29" level="32767"/>
    <cacheField name="[Perfiles_jugador].[position].[position]" caption="position" numFmtId="0" hierarchy="22" level="1">
      <sharedItems containsSemiMixedTypes="0" containsNonDate="0" containsString="0"/>
    </cacheField>
  </cacheFields>
  <cacheHierarchies count="42">
    <cacheHierarchy uniqueName="[Estadisticas_jugador].[player_id]" caption="player_id" attribute="1" defaultMemberUniqueName="[Estadisticas_jugador].[player_id].[All]" allUniqueName="[Estadisticas_jugador].[player_id].[All]" dimensionUniqueName="[Estadisticas_jugador]" displayFolder="" count="0" memberValueDatatype="130" unbalanced="0"/>
    <cacheHierarchy uniqueName="[Estadisticas_jugador].[league]" caption="league" attribute="1" defaultMemberUniqueName="[Estadisticas_jugador].[league].[All]" allUniqueName="[Estadisticas_jugador].[league].[All]" dimensionUniqueName="[Estadisticas_jugador]" displayFolder="" count="0" memberValueDatatype="130" unbalanced="0"/>
    <cacheHierarchy uniqueName="[Estadisticas_jugador].[appearances]" caption="appearances" attribute="1" defaultMemberUniqueName="[Estadisticas_jugador].[appearances].[All]" allUniqueName="[Estadisticas_jugador].[appearances].[All]" dimensionUniqueName="[Estadisticas_jugador]" displayFolder="" count="0" memberValueDatatype="20" unbalanced="0"/>
    <cacheHierarchy uniqueName="[Estadisticas_jugador].[matches_started]" caption="matches_started" attribute="1" defaultMemberUniqueName="[Estadisticas_jugador].[matches_started].[All]" allUniqueName="[Estadisticas_jugador].[matches_started].[All]" dimensionUniqueName="[Estadisticas_jugador]" displayFolder="" count="0" memberValueDatatype="20" unbalanced="0"/>
    <cacheHierarchy uniqueName="[Estadisticas_jugador].[minutes_played]" caption="minutes_played" attribute="1" defaultMemberUniqueName="[Estadisticas_jugador].[minutes_played].[All]" allUniqueName="[Estadisticas_jugador].[minutes_played].[All]" dimensionUniqueName="[Estadisticas_jugador]" displayFolder="" count="0" memberValueDatatype="20" unbalanced="0"/>
    <cacheHierarchy uniqueName="[Estadisticas_jugador].[900 min]" caption="900 min" attribute="1" defaultMemberUniqueName="[Estadisticas_jugador].[900 min].[All]" allUniqueName="[Estadisticas_jugador].[900 min].[All]" dimensionUniqueName="[Estadisticas_jugador]" displayFolder="" count="0" memberValueDatatype="130" unbalanced="0"/>
    <cacheHierarchy uniqueName="[Estadisticas_jugador].[goals]" caption="goals" attribute="1" defaultMemberUniqueName="[Estadisticas_jugador].[goals].[All]" allUniqueName="[Estadisticas_jugador].[goals].[All]" dimensionUniqueName="[Estadisticas_jugador]" displayFolder="" count="0" memberValueDatatype="20" unbalanced="0"/>
    <cacheHierarchy uniqueName="[Estadisticas_jugador].[assists]" caption="assists" attribute="1" defaultMemberUniqueName="[Estadisticas_jugador].[assists].[All]" allUniqueName="[Estadisticas_jugador].[assists].[All]" dimensionUniqueName="[Estadisticas_jugador]" displayFolder="" count="0" memberValueDatatype="20" unbalanced="0"/>
    <cacheHierarchy uniqueName="[Estadisticas_jugador].[expected_goals]" caption="expected_goals" attribute="1" defaultMemberUniqueName="[Estadisticas_jugador].[expected_goals].[All]" allUniqueName="[Estadisticas_jugador].[expected_goals].[All]" dimensionUniqueName="[Estadisticas_jugador]" displayFolder="" count="0" memberValueDatatype="5" unbalanced="0"/>
    <cacheHierarchy uniqueName="[Estadisticas_jugador].[expected_assists]" caption="expected_assists" attribute="1" defaultMemberUniqueName="[Estadisticas_jugador].[expected_assists].[All]" allUniqueName="[Estadisticas_jugador].[expected_assists].[All]" dimensionUniqueName="[Estadisticas_jugador]" displayFolder="" count="0" memberValueDatatype="5" unbalanced="0"/>
    <cacheHierarchy uniqueName="[Estadisticas_jugador].[rating]" caption="rating" attribute="1" defaultMemberUniqueName="[Estadisticas_jugador].[rating].[All]" allUniqueName="[Estadisticas_jugador].[rating].[All]" dimensionUniqueName="[Estadisticas_jugador]" displayFolder="" count="0" memberValueDatatype="5" unbalanced="0"/>
    <cacheHierarchy uniqueName="[Estadisticas_jugador].[total_shots]" caption="total_shots" attribute="1" defaultMemberUniqueName="[Estadisticas_jugador].[total_shots].[All]" allUniqueName="[Estadisticas_jugador].[total_shots].[All]" dimensionUniqueName="[Estadisticas_jugador]" displayFolder="" count="0" memberValueDatatype="20" unbalanced="0"/>
    <cacheHierarchy uniqueName="[Estadisticas_jugador].[shots_on_target]" caption="shots_on_target" attribute="1" defaultMemberUniqueName="[Estadisticas_jugador].[shots_on_target].[All]" allUniqueName="[Estadisticas_jugador].[shots_on_target].[All]" dimensionUniqueName="[Estadisticas_jugador]" displayFolder="" count="0" memberValueDatatype="20" unbalanced="0"/>
    <cacheHierarchy uniqueName="[Estadisticas_jugador].[yellow_cards]" caption="yellow_cards" attribute="1" defaultMemberUniqueName="[Estadisticas_jugador].[yellow_cards].[All]" allUniqueName="[Estadisticas_jugador].[yellow_cards].[All]" dimensionUniqueName="[Estadisticas_jugador]" displayFolder="" count="0" memberValueDatatype="20" unbalanced="0"/>
    <cacheHierarchy uniqueName="[Estadisticas_jugador].[red_cards]" caption="red_cards" attribute="1" defaultMemberUniqueName="[Estadisticas_jugador].[red_cards].[All]" allUniqueName="[Estadisticas_jugador].[red_cards].[All]" dimensionUniqueName="[Estadisticas_jugador]" displayFolder="" count="0" memberValueDatatype="20" unbalanced="0"/>
    <cacheHierarchy uniqueName="[Estadisticas_jugador].[tackles]" caption="tackles" attribute="1" defaultMemberUniqueName="[Estadisticas_jugador].[tackles].[All]" allUniqueName="[Estadisticas_jugador].[tackles].[All]" dimensionUniqueName="[Estadisticas_jugador]" displayFolder="" count="0" memberValueDatatype="20" unbalanced="0"/>
    <cacheHierarchy uniqueName="[Estadisticas_jugador].[interceptions]" caption="interceptions" attribute="1" defaultMemberUniqueName="[Estadisticas_jugador].[interceptions].[All]" allUniqueName="[Estadisticas_jugador].[interceptions].[All]" dimensionUniqueName="[Estadisticas_jugador]" displayFolder="" count="0" memberValueDatatype="20" unbalanced="0"/>
    <cacheHierarchy uniqueName="[Estadisticas_jugador].[tackles_e_intercepciones]" caption="tackles_e_intercepciones" attribute="1" defaultMemberUniqueName="[Estadisticas_jugador].[tackles_e_intercepciones].[All]" allUniqueName="[Estadisticas_jugador].[tackles_e_intercepciones].[All]" dimensionUniqueName="[Estadisticas_jugador]" displayFolder="" count="0" memberValueDatatype="20" unbalanced="0"/>
    <cacheHierarchy uniqueName="[Estadisticas_jugador].[saves]" caption="saves" attribute="1" defaultMemberUniqueName="[Estadisticas_jugador].[saves].[All]" allUniqueName="[Estadisticas_jugador].[saves].[All]" dimensionUniqueName="[Estadisticas_jugador]" displayFolder="" count="0" memberValueDatatype="20" unbalanced="0"/>
    <cacheHierarchy uniqueName="[Perfiles_jugador].[player_id]" caption="player_id" attribute="1" defaultMemberUniqueName="[Perfiles_jugador].[player_id].[All]" allUniqueName="[Perfiles_jugador].[player_id].[All]" dimensionUniqueName="[Perfiles_jugador]" displayFolder="" count="0" memberValueDatatype="20" unbalanced="0"/>
    <cacheHierarchy uniqueName="[Perfiles_jugador].[name]" caption="name" attribute="1" defaultMemberUniqueName="[Perfiles_jugador].[name].[All]" allUniqueName="[Perfiles_jugador].[name].[All]" dimensionUniqueName="[Perfiles_jugador]" displayFolder="" count="2" memberValueDatatype="130" unbalanced="0">
      <fieldsUsage count="2">
        <fieldUsage x="-1"/>
        <fieldUsage x="0"/>
      </fieldsUsage>
    </cacheHierarchy>
    <cacheHierarchy uniqueName="[Perfiles_jugador].[league]" caption="league" attribute="1" defaultMemberUniqueName="[Perfiles_jugador].[league].[All]" allUniqueName="[Perfiles_jugador].[league].[All]" dimensionUniqueName="[Perfiles_jugador]" displayFolder="" count="0" memberValueDatatype="130" unbalanced="0"/>
    <cacheHierarchy uniqueName="[Perfiles_jugador].[position]" caption="position" attribute="1" defaultMemberUniqueName="[Perfiles_jugador].[position].[All]" allUniqueName="[Perfiles_jugador].[position].[All]" dimensionUniqueName="[Perfiles_jugador]" displayFolder="" count="2" memberValueDatatype="130" unbalanced="0">
      <fieldsUsage count="2">
        <fieldUsage x="-1"/>
        <fieldUsage x="2"/>
      </fieldsUsage>
    </cacheHierarchy>
    <cacheHierarchy uniqueName="[Perfiles_jugador].[market_value]" caption="market_value" attribute="1" defaultMemberUniqueName="[Perfiles_jugador].[market_value].[All]" allUniqueName="[Perfiles_jugador].[market_value].[All]" dimensionUniqueName="[Perfiles_jugador]" displayFolder="" count="0" memberValueDatatype="20" unbalanced="0"/>
    <cacheHierarchy uniqueName="[Perfiles_jugador].[valor_mercado]" caption="valor_mercado" attribute="1" defaultMemberUniqueName="[Perfiles_jugador].[valor_mercado].[All]" allUniqueName="[Perfiles_jugador].[valor_mercado].[All]" dimensionUniqueName="[Perfiles_jugador]" displayFolder="" count="0" memberValueDatatype="5" unbalanced="0"/>
    <cacheHierarchy uniqueName="[Measures].[__XL_Count Perfiles_jugador]" caption="__XL_Count Perfiles_jugador" measure="1" displayFolder="" measureGroup="Perfiles_jugador" count="0" hidden="1"/>
    <cacheHierarchy uniqueName="[Measures].[__XL_Count Estadisticas_jugador]" caption="__XL_Count Estadisticas_jugador" measure="1" displayFolder="" measureGroup="Estadisticas_jugador" count="0" hidden="1"/>
    <cacheHierarchy uniqueName="[Measures].[__No measures defined]" caption="__No measures defined" measure="1" displayFolder="" count="0" hidden="1"/>
    <cacheHierarchy uniqueName="[Measures].[Suma de market_value]" caption="Suma de market_value" measure="1" displayFolder="" measureGroup="Perfiles_jugador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valor_mercado]" caption="Suma de valor_mercado" measure="1" displayFolder="" measureGroup="Perfiles_jugado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Promedio de valor_mercado]" caption="Promedio de valor_mercado" measure="1" displayFolder="" measureGroup="Perfiles_jugado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rating]" caption="Suma de rating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rating]" caption="Promedio de rating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goals]" caption="Suma de goal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assists]" caption="Suma de assist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expected_assists]" caption="Suma de expected_assist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expected_goals]" caption="Suma de expected_goal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minutes_played]" caption="Suma de minutes_played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tackles]" caption="Suma de tackle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interceptions]" caption="Suma de interception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tackles_e_intercepciones]" caption="Suma de tackles_e_intercepcione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saves]" caption="Suma de save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3">
    <dimension name="Estadisticas_jugador" uniqueName="[Estadisticas_jugador]" caption="Estadisticas_jugador"/>
    <dimension measure="1" name="Measures" uniqueName="[Measures]" caption="Measures"/>
    <dimension name="Perfiles_jugador" uniqueName="[Perfiles_jugador]" caption="Perfiles_jugador"/>
  </dimensions>
  <measureGroups count="2">
    <measureGroup name="Estadisticas_jugador" caption="Estadisticas_jugador"/>
    <measureGroup name="Perfiles_jugador" caption="Perfiles_jugador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 chicharro" refreshedDate="46294.785533333335" backgroundQuery="1" createdVersion="8" refreshedVersion="8" minRefreshableVersion="3" recordCount="0" supportSubquery="1" supportAdvancedDrill="1" xr:uid="{CFA4ED34-5152-4BA9-BB68-DE594BC87C3D}">
  <cacheSource type="external" connectionId="3"/>
  <cacheFields count="3">
    <cacheField name="[Perfiles_jugador].[name].[name]" caption="name" numFmtId="0" hierarchy="20" level="1">
      <sharedItems count="5">
        <s v="Antonio Blanco"/>
        <s v="Carlos Romero"/>
        <s v="Jon Aramburu"/>
        <s v="Juan Iglesias"/>
        <s v="Santiago Mouriño"/>
      </sharedItems>
    </cacheField>
    <cacheField name="[Measures].[Suma de tackles_e_intercepciones]" caption="Suma de tackles_e_intercepciones" numFmtId="0" hierarchy="40" level="32767"/>
    <cacheField name="[Perfiles_jugador].[position].[position]" caption="position" numFmtId="0" hierarchy="22" level="1">
      <sharedItems containsSemiMixedTypes="0" containsNonDate="0" containsString="0"/>
    </cacheField>
  </cacheFields>
  <cacheHierarchies count="42">
    <cacheHierarchy uniqueName="[Estadisticas_jugador].[player_id]" caption="player_id" attribute="1" defaultMemberUniqueName="[Estadisticas_jugador].[player_id].[All]" allUniqueName="[Estadisticas_jugador].[player_id].[All]" dimensionUniqueName="[Estadisticas_jugador]" displayFolder="" count="0" memberValueDatatype="130" unbalanced="0"/>
    <cacheHierarchy uniqueName="[Estadisticas_jugador].[league]" caption="league" attribute="1" defaultMemberUniqueName="[Estadisticas_jugador].[league].[All]" allUniqueName="[Estadisticas_jugador].[league].[All]" dimensionUniqueName="[Estadisticas_jugador]" displayFolder="" count="0" memberValueDatatype="130" unbalanced="0"/>
    <cacheHierarchy uniqueName="[Estadisticas_jugador].[appearances]" caption="appearances" attribute="1" defaultMemberUniqueName="[Estadisticas_jugador].[appearances].[All]" allUniqueName="[Estadisticas_jugador].[appearances].[All]" dimensionUniqueName="[Estadisticas_jugador]" displayFolder="" count="0" memberValueDatatype="20" unbalanced="0"/>
    <cacheHierarchy uniqueName="[Estadisticas_jugador].[matches_started]" caption="matches_started" attribute="1" defaultMemberUniqueName="[Estadisticas_jugador].[matches_started].[All]" allUniqueName="[Estadisticas_jugador].[matches_started].[All]" dimensionUniqueName="[Estadisticas_jugador]" displayFolder="" count="0" memberValueDatatype="20" unbalanced="0"/>
    <cacheHierarchy uniqueName="[Estadisticas_jugador].[minutes_played]" caption="minutes_played" attribute="1" defaultMemberUniqueName="[Estadisticas_jugador].[minutes_played].[All]" allUniqueName="[Estadisticas_jugador].[minutes_played].[All]" dimensionUniqueName="[Estadisticas_jugador]" displayFolder="" count="0" memberValueDatatype="20" unbalanced="0"/>
    <cacheHierarchy uniqueName="[Estadisticas_jugador].[900 min]" caption="900 min" attribute="1" defaultMemberUniqueName="[Estadisticas_jugador].[900 min].[All]" allUniqueName="[Estadisticas_jugador].[900 min].[All]" dimensionUniqueName="[Estadisticas_jugador]" displayFolder="" count="0" memberValueDatatype="130" unbalanced="0"/>
    <cacheHierarchy uniqueName="[Estadisticas_jugador].[goals]" caption="goals" attribute="1" defaultMemberUniqueName="[Estadisticas_jugador].[goals].[All]" allUniqueName="[Estadisticas_jugador].[goals].[All]" dimensionUniqueName="[Estadisticas_jugador]" displayFolder="" count="0" memberValueDatatype="20" unbalanced="0"/>
    <cacheHierarchy uniqueName="[Estadisticas_jugador].[assists]" caption="assists" attribute="1" defaultMemberUniqueName="[Estadisticas_jugador].[assists].[All]" allUniqueName="[Estadisticas_jugador].[assists].[All]" dimensionUniqueName="[Estadisticas_jugador]" displayFolder="" count="0" memberValueDatatype="20" unbalanced="0"/>
    <cacheHierarchy uniqueName="[Estadisticas_jugador].[expected_goals]" caption="expected_goals" attribute="1" defaultMemberUniqueName="[Estadisticas_jugador].[expected_goals].[All]" allUniqueName="[Estadisticas_jugador].[expected_goals].[All]" dimensionUniqueName="[Estadisticas_jugador]" displayFolder="" count="0" memberValueDatatype="5" unbalanced="0"/>
    <cacheHierarchy uniqueName="[Estadisticas_jugador].[expected_assists]" caption="expected_assists" attribute="1" defaultMemberUniqueName="[Estadisticas_jugador].[expected_assists].[All]" allUniqueName="[Estadisticas_jugador].[expected_assists].[All]" dimensionUniqueName="[Estadisticas_jugador]" displayFolder="" count="0" memberValueDatatype="5" unbalanced="0"/>
    <cacheHierarchy uniqueName="[Estadisticas_jugador].[rating]" caption="rating" attribute="1" defaultMemberUniqueName="[Estadisticas_jugador].[rating].[All]" allUniqueName="[Estadisticas_jugador].[rating].[All]" dimensionUniqueName="[Estadisticas_jugador]" displayFolder="" count="0" memberValueDatatype="5" unbalanced="0"/>
    <cacheHierarchy uniqueName="[Estadisticas_jugador].[total_shots]" caption="total_shots" attribute="1" defaultMemberUniqueName="[Estadisticas_jugador].[total_shots].[All]" allUniqueName="[Estadisticas_jugador].[total_shots].[All]" dimensionUniqueName="[Estadisticas_jugador]" displayFolder="" count="0" memberValueDatatype="20" unbalanced="0"/>
    <cacheHierarchy uniqueName="[Estadisticas_jugador].[shots_on_target]" caption="shots_on_target" attribute="1" defaultMemberUniqueName="[Estadisticas_jugador].[shots_on_target].[All]" allUniqueName="[Estadisticas_jugador].[shots_on_target].[All]" dimensionUniqueName="[Estadisticas_jugador]" displayFolder="" count="0" memberValueDatatype="20" unbalanced="0"/>
    <cacheHierarchy uniqueName="[Estadisticas_jugador].[yellow_cards]" caption="yellow_cards" attribute="1" defaultMemberUniqueName="[Estadisticas_jugador].[yellow_cards].[All]" allUniqueName="[Estadisticas_jugador].[yellow_cards].[All]" dimensionUniqueName="[Estadisticas_jugador]" displayFolder="" count="0" memberValueDatatype="20" unbalanced="0"/>
    <cacheHierarchy uniqueName="[Estadisticas_jugador].[red_cards]" caption="red_cards" attribute="1" defaultMemberUniqueName="[Estadisticas_jugador].[red_cards].[All]" allUniqueName="[Estadisticas_jugador].[red_cards].[All]" dimensionUniqueName="[Estadisticas_jugador]" displayFolder="" count="0" memberValueDatatype="20" unbalanced="0"/>
    <cacheHierarchy uniqueName="[Estadisticas_jugador].[tackles]" caption="tackles" attribute="1" defaultMemberUniqueName="[Estadisticas_jugador].[tackles].[All]" allUniqueName="[Estadisticas_jugador].[tackles].[All]" dimensionUniqueName="[Estadisticas_jugador]" displayFolder="" count="0" memberValueDatatype="20" unbalanced="0"/>
    <cacheHierarchy uniqueName="[Estadisticas_jugador].[interceptions]" caption="interceptions" attribute="1" defaultMemberUniqueName="[Estadisticas_jugador].[interceptions].[All]" allUniqueName="[Estadisticas_jugador].[interceptions].[All]" dimensionUniqueName="[Estadisticas_jugador]" displayFolder="" count="0" memberValueDatatype="20" unbalanced="0"/>
    <cacheHierarchy uniqueName="[Estadisticas_jugador].[tackles_e_intercepciones]" caption="tackles_e_intercepciones" attribute="1" defaultMemberUniqueName="[Estadisticas_jugador].[tackles_e_intercepciones].[All]" allUniqueName="[Estadisticas_jugador].[tackles_e_intercepciones].[All]" dimensionUniqueName="[Estadisticas_jugador]" displayFolder="" count="0" memberValueDatatype="20" unbalanced="0"/>
    <cacheHierarchy uniqueName="[Estadisticas_jugador].[saves]" caption="saves" attribute="1" defaultMemberUniqueName="[Estadisticas_jugador].[saves].[All]" allUniqueName="[Estadisticas_jugador].[saves].[All]" dimensionUniqueName="[Estadisticas_jugador]" displayFolder="" count="0" memberValueDatatype="20" unbalanced="0"/>
    <cacheHierarchy uniqueName="[Perfiles_jugador].[player_id]" caption="player_id" attribute="1" defaultMemberUniqueName="[Perfiles_jugador].[player_id].[All]" allUniqueName="[Perfiles_jugador].[player_id].[All]" dimensionUniqueName="[Perfiles_jugador]" displayFolder="" count="0" memberValueDatatype="20" unbalanced="0"/>
    <cacheHierarchy uniqueName="[Perfiles_jugador].[name]" caption="name" attribute="1" defaultMemberUniqueName="[Perfiles_jugador].[name].[All]" allUniqueName="[Perfiles_jugador].[name].[All]" dimensionUniqueName="[Perfiles_jugador]" displayFolder="" count="2" memberValueDatatype="130" unbalanced="0">
      <fieldsUsage count="2">
        <fieldUsage x="-1"/>
        <fieldUsage x="0"/>
      </fieldsUsage>
    </cacheHierarchy>
    <cacheHierarchy uniqueName="[Perfiles_jugador].[league]" caption="league" attribute="1" defaultMemberUniqueName="[Perfiles_jugador].[league].[All]" allUniqueName="[Perfiles_jugador].[league].[All]" dimensionUniqueName="[Perfiles_jugador]" displayFolder="" count="0" memberValueDatatype="130" unbalanced="0"/>
    <cacheHierarchy uniqueName="[Perfiles_jugador].[position]" caption="position" attribute="1" defaultMemberUniqueName="[Perfiles_jugador].[position].[All]" allUniqueName="[Perfiles_jugador].[position].[All]" dimensionUniqueName="[Perfiles_jugador]" displayFolder="" count="2" memberValueDatatype="130" unbalanced="0">
      <fieldsUsage count="2">
        <fieldUsage x="-1"/>
        <fieldUsage x="2"/>
      </fieldsUsage>
    </cacheHierarchy>
    <cacheHierarchy uniqueName="[Perfiles_jugador].[market_value]" caption="market_value" attribute="1" defaultMemberUniqueName="[Perfiles_jugador].[market_value].[All]" allUniqueName="[Perfiles_jugador].[market_value].[All]" dimensionUniqueName="[Perfiles_jugador]" displayFolder="" count="0" memberValueDatatype="20" unbalanced="0"/>
    <cacheHierarchy uniqueName="[Perfiles_jugador].[valor_mercado]" caption="valor_mercado" attribute="1" defaultMemberUniqueName="[Perfiles_jugador].[valor_mercado].[All]" allUniqueName="[Perfiles_jugador].[valor_mercado].[All]" dimensionUniqueName="[Perfiles_jugador]" displayFolder="" count="0" memberValueDatatype="5" unbalanced="0"/>
    <cacheHierarchy uniqueName="[Measures].[__XL_Count Perfiles_jugador]" caption="__XL_Count Perfiles_jugador" measure="1" displayFolder="" measureGroup="Perfiles_jugador" count="0" hidden="1"/>
    <cacheHierarchy uniqueName="[Measures].[__XL_Count Estadisticas_jugador]" caption="__XL_Count Estadisticas_jugador" measure="1" displayFolder="" measureGroup="Estadisticas_jugador" count="0" hidden="1"/>
    <cacheHierarchy uniqueName="[Measures].[__No measures defined]" caption="__No measures defined" measure="1" displayFolder="" count="0" hidden="1"/>
    <cacheHierarchy uniqueName="[Measures].[Suma de market_value]" caption="Suma de market_value" measure="1" displayFolder="" measureGroup="Perfiles_jugador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valor_mercado]" caption="Suma de valor_mercado" measure="1" displayFolder="" measureGroup="Perfiles_jugado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Promedio de valor_mercado]" caption="Promedio de valor_mercado" measure="1" displayFolder="" measureGroup="Perfiles_jugado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rating]" caption="Suma de rating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rating]" caption="Promedio de rating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goals]" caption="Suma de goal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assists]" caption="Suma de assist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expected_assists]" caption="Suma de expected_assist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expected_goals]" caption="Suma de expected_goal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minutes_played]" caption="Suma de minutes_played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tackles]" caption="Suma de tackle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interceptions]" caption="Suma de interception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tackles_e_intercepciones]" caption="Suma de tackles_e_intercepciones" measure="1" displayFolder="" measureGroup="Estadisticas_jugado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saves]" caption="Suma de save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3">
    <dimension name="Estadisticas_jugador" uniqueName="[Estadisticas_jugador]" caption="Estadisticas_jugador"/>
    <dimension measure="1" name="Measures" uniqueName="[Measures]" caption="Measures"/>
    <dimension name="Perfiles_jugador" uniqueName="[Perfiles_jugador]" caption="Perfiles_jugador"/>
  </dimensions>
  <measureGroups count="2">
    <measureGroup name="Estadisticas_jugador" caption="Estadisticas_jugador"/>
    <measureGroup name="Perfiles_jugador" caption="Perfiles_jugador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 chicharro" refreshedDate="46294.791595023147" backgroundQuery="1" createdVersion="8" refreshedVersion="8" minRefreshableVersion="3" recordCount="0" supportSubquery="1" supportAdvancedDrill="1" xr:uid="{D12D4E8E-E9F2-4DD9-A543-28865FFA7527}">
  <cacheSource type="external" connectionId="3"/>
  <cacheFields count="3">
    <cacheField name="[Perfiles_jugador].[name].[name]" caption="name" numFmtId="0" hierarchy="20" level="1">
      <sharedItems count="5">
        <s v="Aarón Escandell"/>
        <s v="Marko Dmitrović"/>
        <s v="Mathew Ryan"/>
        <s v="Paulo Gazzaniga"/>
        <s v="Sergio Herrera"/>
      </sharedItems>
    </cacheField>
    <cacheField name="[Perfiles_jugador].[position].[position]" caption="position" numFmtId="0" hierarchy="22" level="1">
      <sharedItems containsSemiMixedTypes="0" containsNonDate="0" containsString="0"/>
    </cacheField>
    <cacheField name="[Measures].[Suma de saves]" caption="Suma de saves" numFmtId="0" hierarchy="41" level="32767"/>
  </cacheFields>
  <cacheHierarchies count="42">
    <cacheHierarchy uniqueName="[Estadisticas_jugador].[player_id]" caption="player_id" attribute="1" defaultMemberUniqueName="[Estadisticas_jugador].[player_id].[All]" allUniqueName="[Estadisticas_jugador].[player_id].[All]" dimensionUniqueName="[Estadisticas_jugador]" displayFolder="" count="0" memberValueDatatype="130" unbalanced="0"/>
    <cacheHierarchy uniqueName="[Estadisticas_jugador].[league]" caption="league" attribute="1" defaultMemberUniqueName="[Estadisticas_jugador].[league].[All]" allUniqueName="[Estadisticas_jugador].[league].[All]" dimensionUniqueName="[Estadisticas_jugador]" displayFolder="" count="0" memberValueDatatype="130" unbalanced="0"/>
    <cacheHierarchy uniqueName="[Estadisticas_jugador].[appearances]" caption="appearances" attribute="1" defaultMemberUniqueName="[Estadisticas_jugador].[appearances].[All]" allUniqueName="[Estadisticas_jugador].[appearances].[All]" dimensionUniqueName="[Estadisticas_jugador]" displayFolder="" count="0" memberValueDatatype="20" unbalanced="0"/>
    <cacheHierarchy uniqueName="[Estadisticas_jugador].[matches_started]" caption="matches_started" attribute="1" defaultMemberUniqueName="[Estadisticas_jugador].[matches_started].[All]" allUniqueName="[Estadisticas_jugador].[matches_started].[All]" dimensionUniqueName="[Estadisticas_jugador]" displayFolder="" count="0" memberValueDatatype="20" unbalanced="0"/>
    <cacheHierarchy uniqueName="[Estadisticas_jugador].[minutes_played]" caption="minutes_played" attribute="1" defaultMemberUniqueName="[Estadisticas_jugador].[minutes_played].[All]" allUniqueName="[Estadisticas_jugador].[minutes_played].[All]" dimensionUniqueName="[Estadisticas_jugador]" displayFolder="" count="0" memberValueDatatype="20" unbalanced="0"/>
    <cacheHierarchy uniqueName="[Estadisticas_jugador].[900 min]" caption="900 min" attribute="1" defaultMemberUniqueName="[Estadisticas_jugador].[900 min].[All]" allUniqueName="[Estadisticas_jugador].[900 min].[All]" dimensionUniqueName="[Estadisticas_jugador]" displayFolder="" count="0" memberValueDatatype="130" unbalanced="0"/>
    <cacheHierarchy uniqueName="[Estadisticas_jugador].[goals]" caption="goals" attribute="1" defaultMemberUniqueName="[Estadisticas_jugador].[goals].[All]" allUniqueName="[Estadisticas_jugador].[goals].[All]" dimensionUniqueName="[Estadisticas_jugador]" displayFolder="" count="0" memberValueDatatype="20" unbalanced="0"/>
    <cacheHierarchy uniqueName="[Estadisticas_jugador].[assists]" caption="assists" attribute="1" defaultMemberUniqueName="[Estadisticas_jugador].[assists].[All]" allUniqueName="[Estadisticas_jugador].[assists].[All]" dimensionUniqueName="[Estadisticas_jugador]" displayFolder="" count="0" memberValueDatatype="20" unbalanced="0"/>
    <cacheHierarchy uniqueName="[Estadisticas_jugador].[expected_goals]" caption="expected_goals" attribute="1" defaultMemberUniqueName="[Estadisticas_jugador].[expected_goals].[All]" allUniqueName="[Estadisticas_jugador].[expected_goals].[All]" dimensionUniqueName="[Estadisticas_jugador]" displayFolder="" count="0" memberValueDatatype="5" unbalanced="0"/>
    <cacheHierarchy uniqueName="[Estadisticas_jugador].[expected_assists]" caption="expected_assists" attribute="1" defaultMemberUniqueName="[Estadisticas_jugador].[expected_assists].[All]" allUniqueName="[Estadisticas_jugador].[expected_assists].[All]" dimensionUniqueName="[Estadisticas_jugador]" displayFolder="" count="0" memberValueDatatype="5" unbalanced="0"/>
    <cacheHierarchy uniqueName="[Estadisticas_jugador].[rating]" caption="rating" attribute="1" defaultMemberUniqueName="[Estadisticas_jugador].[rating].[All]" allUniqueName="[Estadisticas_jugador].[rating].[All]" dimensionUniqueName="[Estadisticas_jugador]" displayFolder="" count="0" memberValueDatatype="5" unbalanced="0"/>
    <cacheHierarchy uniqueName="[Estadisticas_jugador].[total_shots]" caption="total_shots" attribute="1" defaultMemberUniqueName="[Estadisticas_jugador].[total_shots].[All]" allUniqueName="[Estadisticas_jugador].[total_shots].[All]" dimensionUniqueName="[Estadisticas_jugador]" displayFolder="" count="0" memberValueDatatype="20" unbalanced="0"/>
    <cacheHierarchy uniqueName="[Estadisticas_jugador].[shots_on_target]" caption="shots_on_target" attribute="1" defaultMemberUniqueName="[Estadisticas_jugador].[shots_on_target].[All]" allUniqueName="[Estadisticas_jugador].[shots_on_target].[All]" dimensionUniqueName="[Estadisticas_jugador]" displayFolder="" count="0" memberValueDatatype="20" unbalanced="0"/>
    <cacheHierarchy uniqueName="[Estadisticas_jugador].[yellow_cards]" caption="yellow_cards" attribute="1" defaultMemberUniqueName="[Estadisticas_jugador].[yellow_cards].[All]" allUniqueName="[Estadisticas_jugador].[yellow_cards].[All]" dimensionUniqueName="[Estadisticas_jugador]" displayFolder="" count="0" memberValueDatatype="20" unbalanced="0"/>
    <cacheHierarchy uniqueName="[Estadisticas_jugador].[red_cards]" caption="red_cards" attribute="1" defaultMemberUniqueName="[Estadisticas_jugador].[red_cards].[All]" allUniqueName="[Estadisticas_jugador].[red_cards].[All]" dimensionUniqueName="[Estadisticas_jugador]" displayFolder="" count="0" memberValueDatatype="20" unbalanced="0"/>
    <cacheHierarchy uniqueName="[Estadisticas_jugador].[tackles]" caption="tackles" attribute="1" defaultMemberUniqueName="[Estadisticas_jugador].[tackles].[All]" allUniqueName="[Estadisticas_jugador].[tackles].[All]" dimensionUniqueName="[Estadisticas_jugador]" displayFolder="" count="0" memberValueDatatype="20" unbalanced="0"/>
    <cacheHierarchy uniqueName="[Estadisticas_jugador].[interceptions]" caption="interceptions" attribute="1" defaultMemberUniqueName="[Estadisticas_jugador].[interceptions].[All]" allUniqueName="[Estadisticas_jugador].[interceptions].[All]" dimensionUniqueName="[Estadisticas_jugador]" displayFolder="" count="0" memberValueDatatype="20" unbalanced="0"/>
    <cacheHierarchy uniqueName="[Estadisticas_jugador].[tackles_e_intercepciones]" caption="tackles_e_intercepciones" attribute="1" defaultMemberUniqueName="[Estadisticas_jugador].[tackles_e_intercepciones].[All]" allUniqueName="[Estadisticas_jugador].[tackles_e_intercepciones].[All]" dimensionUniqueName="[Estadisticas_jugador]" displayFolder="" count="0" memberValueDatatype="20" unbalanced="0"/>
    <cacheHierarchy uniqueName="[Estadisticas_jugador].[saves]" caption="saves" attribute="1" defaultMemberUniqueName="[Estadisticas_jugador].[saves].[All]" allUniqueName="[Estadisticas_jugador].[saves].[All]" dimensionUniqueName="[Estadisticas_jugador]" displayFolder="" count="0" memberValueDatatype="20" unbalanced="0"/>
    <cacheHierarchy uniqueName="[Perfiles_jugador].[player_id]" caption="player_id" attribute="1" defaultMemberUniqueName="[Perfiles_jugador].[player_id].[All]" allUniqueName="[Perfiles_jugador].[player_id].[All]" dimensionUniqueName="[Perfiles_jugador]" displayFolder="" count="0" memberValueDatatype="20" unbalanced="0"/>
    <cacheHierarchy uniqueName="[Perfiles_jugador].[name]" caption="name" attribute="1" defaultMemberUniqueName="[Perfiles_jugador].[name].[All]" allUniqueName="[Perfiles_jugador].[name].[All]" dimensionUniqueName="[Perfiles_jugador]" displayFolder="" count="2" memberValueDatatype="130" unbalanced="0">
      <fieldsUsage count="2">
        <fieldUsage x="-1"/>
        <fieldUsage x="0"/>
      </fieldsUsage>
    </cacheHierarchy>
    <cacheHierarchy uniqueName="[Perfiles_jugador].[league]" caption="league" attribute="1" defaultMemberUniqueName="[Perfiles_jugador].[league].[All]" allUniqueName="[Perfiles_jugador].[league].[All]" dimensionUniqueName="[Perfiles_jugador]" displayFolder="" count="0" memberValueDatatype="130" unbalanced="0"/>
    <cacheHierarchy uniqueName="[Perfiles_jugador].[position]" caption="position" attribute="1" defaultMemberUniqueName="[Perfiles_jugador].[position].[All]" allUniqueName="[Perfiles_jugador].[position].[All]" dimensionUniqueName="[Perfiles_jugador]" displayFolder="" count="2" memberValueDatatype="130" unbalanced="0">
      <fieldsUsage count="2">
        <fieldUsage x="-1"/>
        <fieldUsage x="1"/>
      </fieldsUsage>
    </cacheHierarchy>
    <cacheHierarchy uniqueName="[Perfiles_jugador].[market_value]" caption="market_value" attribute="1" defaultMemberUniqueName="[Perfiles_jugador].[market_value].[All]" allUniqueName="[Perfiles_jugador].[market_value].[All]" dimensionUniqueName="[Perfiles_jugador]" displayFolder="" count="0" memberValueDatatype="20" unbalanced="0"/>
    <cacheHierarchy uniqueName="[Perfiles_jugador].[valor_mercado]" caption="valor_mercado" attribute="1" defaultMemberUniqueName="[Perfiles_jugador].[valor_mercado].[All]" allUniqueName="[Perfiles_jugador].[valor_mercado].[All]" dimensionUniqueName="[Perfiles_jugador]" displayFolder="" count="0" memberValueDatatype="5" unbalanced="0"/>
    <cacheHierarchy uniqueName="[Measures].[__XL_Count Perfiles_jugador]" caption="__XL_Count Perfiles_jugador" measure="1" displayFolder="" measureGroup="Perfiles_jugador" count="0" hidden="1"/>
    <cacheHierarchy uniqueName="[Measures].[__XL_Count Estadisticas_jugador]" caption="__XL_Count Estadisticas_jugador" measure="1" displayFolder="" measureGroup="Estadisticas_jugador" count="0" hidden="1"/>
    <cacheHierarchy uniqueName="[Measures].[__No measures defined]" caption="__No measures defined" measure="1" displayFolder="" count="0" hidden="1"/>
    <cacheHierarchy uniqueName="[Measures].[Suma de market_value]" caption="Suma de market_value" measure="1" displayFolder="" measureGroup="Perfiles_jugador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valor_mercado]" caption="Suma de valor_mercado" measure="1" displayFolder="" measureGroup="Perfiles_jugado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Promedio de valor_mercado]" caption="Promedio de valor_mercado" measure="1" displayFolder="" measureGroup="Perfiles_jugado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rating]" caption="Suma de rating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rating]" caption="Promedio de rating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goals]" caption="Suma de goal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assists]" caption="Suma de assist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expected_assists]" caption="Suma de expected_assist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expected_goals]" caption="Suma de expected_goal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minutes_played]" caption="Suma de minutes_played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tackles]" caption="Suma de tackle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interceptions]" caption="Suma de interception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tackles_e_intercepciones]" caption="Suma de tackles_e_intercepcione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saves]" caption="Suma de saves" measure="1" displayFolder="" measureGroup="Estadisticas_jugado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3">
    <dimension name="Estadisticas_jugador" uniqueName="[Estadisticas_jugador]" caption="Estadisticas_jugador"/>
    <dimension measure="1" name="Measures" uniqueName="[Measures]" caption="Measures"/>
    <dimension name="Perfiles_jugador" uniqueName="[Perfiles_jugador]" caption="Perfiles_jugador"/>
  </dimensions>
  <measureGroups count="2">
    <measureGroup name="Estadisticas_jugador" caption="Estadisticas_jugador"/>
    <measureGroup name="Perfiles_jugador" caption="Perfiles_jugador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 chicharro" refreshedDate="46294.784885069443" backgroundQuery="1" createdVersion="3" refreshedVersion="8" minRefreshableVersion="3" recordCount="0" supportSubquery="1" supportAdvancedDrill="1" xr:uid="{D61D8BA6-02D1-4722-ACBC-15CFF84DF8DB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2">
    <cacheHierarchy uniqueName="[Estadisticas_jugador].[player_id]" caption="player_id" attribute="1" defaultMemberUniqueName="[Estadisticas_jugador].[player_id].[All]" allUniqueName="[Estadisticas_jugador].[player_id].[All]" dimensionUniqueName="[Estadisticas_jugador]" displayFolder="" count="0" memberValueDatatype="130" unbalanced="0"/>
    <cacheHierarchy uniqueName="[Estadisticas_jugador].[league]" caption="league" attribute="1" defaultMemberUniqueName="[Estadisticas_jugador].[league].[All]" allUniqueName="[Estadisticas_jugador].[league].[All]" dimensionUniqueName="[Estadisticas_jugador]" displayFolder="" count="0" memberValueDatatype="130" unbalanced="0"/>
    <cacheHierarchy uniqueName="[Estadisticas_jugador].[appearances]" caption="appearances" attribute="1" defaultMemberUniqueName="[Estadisticas_jugador].[appearances].[All]" allUniqueName="[Estadisticas_jugador].[appearances].[All]" dimensionUniqueName="[Estadisticas_jugador]" displayFolder="" count="0" memberValueDatatype="20" unbalanced="0"/>
    <cacheHierarchy uniqueName="[Estadisticas_jugador].[matches_started]" caption="matches_started" attribute="1" defaultMemberUniqueName="[Estadisticas_jugador].[matches_started].[All]" allUniqueName="[Estadisticas_jugador].[matches_started].[All]" dimensionUniqueName="[Estadisticas_jugador]" displayFolder="" count="0" memberValueDatatype="20" unbalanced="0"/>
    <cacheHierarchy uniqueName="[Estadisticas_jugador].[minutes_played]" caption="minutes_played" attribute="1" defaultMemberUniqueName="[Estadisticas_jugador].[minutes_played].[All]" allUniqueName="[Estadisticas_jugador].[minutes_played].[All]" dimensionUniqueName="[Estadisticas_jugador]" displayFolder="" count="0" memberValueDatatype="20" unbalanced="0"/>
    <cacheHierarchy uniqueName="[Estadisticas_jugador].[900 min]" caption="900 min" attribute="1" defaultMemberUniqueName="[Estadisticas_jugador].[900 min].[All]" allUniqueName="[Estadisticas_jugador].[900 min].[All]" dimensionUniqueName="[Estadisticas_jugador]" displayFolder="" count="0" memberValueDatatype="130" unbalanced="0"/>
    <cacheHierarchy uniqueName="[Estadisticas_jugador].[goals]" caption="goals" attribute="1" defaultMemberUniqueName="[Estadisticas_jugador].[goals].[All]" allUniqueName="[Estadisticas_jugador].[goals].[All]" dimensionUniqueName="[Estadisticas_jugador]" displayFolder="" count="0" memberValueDatatype="20" unbalanced="0"/>
    <cacheHierarchy uniqueName="[Estadisticas_jugador].[assists]" caption="assists" attribute="1" defaultMemberUniqueName="[Estadisticas_jugador].[assists].[All]" allUniqueName="[Estadisticas_jugador].[assists].[All]" dimensionUniqueName="[Estadisticas_jugador]" displayFolder="" count="0" memberValueDatatype="20" unbalanced="0"/>
    <cacheHierarchy uniqueName="[Estadisticas_jugador].[expected_goals]" caption="expected_goals" attribute="1" defaultMemberUniqueName="[Estadisticas_jugador].[expected_goals].[All]" allUniqueName="[Estadisticas_jugador].[expected_goals].[All]" dimensionUniqueName="[Estadisticas_jugador]" displayFolder="" count="0" memberValueDatatype="5" unbalanced="0"/>
    <cacheHierarchy uniqueName="[Estadisticas_jugador].[expected_assists]" caption="expected_assists" attribute="1" defaultMemberUniqueName="[Estadisticas_jugador].[expected_assists].[All]" allUniqueName="[Estadisticas_jugador].[expected_assists].[All]" dimensionUniqueName="[Estadisticas_jugador]" displayFolder="" count="0" memberValueDatatype="5" unbalanced="0"/>
    <cacheHierarchy uniqueName="[Estadisticas_jugador].[rating]" caption="rating" attribute="1" defaultMemberUniqueName="[Estadisticas_jugador].[rating].[All]" allUniqueName="[Estadisticas_jugador].[rating].[All]" dimensionUniqueName="[Estadisticas_jugador]" displayFolder="" count="0" memberValueDatatype="5" unbalanced="0"/>
    <cacheHierarchy uniqueName="[Estadisticas_jugador].[total_shots]" caption="total_shots" attribute="1" defaultMemberUniqueName="[Estadisticas_jugador].[total_shots].[All]" allUniqueName="[Estadisticas_jugador].[total_shots].[All]" dimensionUniqueName="[Estadisticas_jugador]" displayFolder="" count="0" memberValueDatatype="20" unbalanced="0"/>
    <cacheHierarchy uniqueName="[Estadisticas_jugador].[shots_on_target]" caption="shots_on_target" attribute="1" defaultMemberUniqueName="[Estadisticas_jugador].[shots_on_target].[All]" allUniqueName="[Estadisticas_jugador].[shots_on_target].[All]" dimensionUniqueName="[Estadisticas_jugador]" displayFolder="" count="0" memberValueDatatype="20" unbalanced="0"/>
    <cacheHierarchy uniqueName="[Estadisticas_jugador].[yellow_cards]" caption="yellow_cards" attribute="1" defaultMemberUniqueName="[Estadisticas_jugador].[yellow_cards].[All]" allUniqueName="[Estadisticas_jugador].[yellow_cards].[All]" dimensionUniqueName="[Estadisticas_jugador]" displayFolder="" count="0" memberValueDatatype="20" unbalanced="0"/>
    <cacheHierarchy uniqueName="[Estadisticas_jugador].[red_cards]" caption="red_cards" attribute="1" defaultMemberUniqueName="[Estadisticas_jugador].[red_cards].[All]" allUniqueName="[Estadisticas_jugador].[red_cards].[All]" dimensionUniqueName="[Estadisticas_jugador]" displayFolder="" count="0" memberValueDatatype="20" unbalanced="0"/>
    <cacheHierarchy uniqueName="[Estadisticas_jugador].[tackles]" caption="tackles" attribute="1" defaultMemberUniqueName="[Estadisticas_jugador].[tackles].[All]" allUniqueName="[Estadisticas_jugador].[tackles].[All]" dimensionUniqueName="[Estadisticas_jugador]" displayFolder="" count="0" memberValueDatatype="20" unbalanced="0"/>
    <cacheHierarchy uniqueName="[Estadisticas_jugador].[interceptions]" caption="interceptions" attribute="1" defaultMemberUniqueName="[Estadisticas_jugador].[interceptions].[All]" allUniqueName="[Estadisticas_jugador].[interceptions].[All]" dimensionUniqueName="[Estadisticas_jugador]" displayFolder="" count="0" memberValueDatatype="20" unbalanced="0"/>
    <cacheHierarchy uniqueName="[Estadisticas_jugador].[tackles_e_intercepciones]" caption="tackles_e_intercepciones" attribute="1" defaultMemberUniqueName="[Estadisticas_jugador].[tackles_e_intercepciones].[All]" allUniqueName="[Estadisticas_jugador].[tackles_e_intercepciones].[All]" dimensionUniqueName="[Estadisticas_jugador]" displayFolder="" count="0" memberValueDatatype="20" unbalanced="0"/>
    <cacheHierarchy uniqueName="[Estadisticas_jugador].[saves]" caption="saves" attribute="1" defaultMemberUniqueName="[Estadisticas_jugador].[saves].[All]" allUniqueName="[Estadisticas_jugador].[saves].[All]" dimensionUniqueName="[Estadisticas_jugador]" displayFolder="" count="0" memberValueDatatype="20" unbalanced="0"/>
    <cacheHierarchy uniqueName="[Perfiles_jugador].[player_id]" caption="player_id" attribute="1" defaultMemberUniqueName="[Perfiles_jugador].[player_id].[All]" allUniqueName="[Perfiles_jugador].[player_id].[All]" dimensionUniqueName="[Perfiles_jugador]" displayFolder="" count="0" memberValueDatatype="20" unbalanced="0"/>
    <cacheHierarchy uniqueName="[Perfiles_jugador].[name]" caption="name" attribute="1" defaultMemberUniqueName="[Perfiles_jugador].[name].[All]" allUniqueName="[Perfiles_jugador].[name].[All]" dimensionUniqueName="[Perfiles_jugador]" displayFolder="" count="0" memberValueDatatype="130" unbalanced="0"/>
    <cacheHierarchy uniqueName="[Perfiles_jugador].[league]" caption="league" attribute="1" defaultMemberUniqueName="[Perfiles_jugador].[league].[All]" allUniqueName="[Perfiles_jugador].[league].[All]" dimensionUniqueName="[Perfiles_jugador]" displayFolder="" count="0" memberValueDatatype="130" unbalanced="0"/>
    <cacheHierarchy uniqueName="[Perfiles_jugador].[position]" caption="position" attribute="1" defaultMemberUniqueName="[Perfiles_jugador].[position].[All]" allUniqueName="[Perfiles_jugador].[position].[All]" dimensionUniqueName="[Perfiles_jugador]" displayFolder="" count="2" memberValueDatatype="130" unbalanced="0"/>
    <cacheHierarchy uniqueName="[Perfiles_jugador].[market_value]" caption="market_value" attribute="1" defaultMemberUniqueName="[Perfiles_jugador].[market_value].[All]" allUniqueName="[Perfiles_jugador].[market_value].[All]" dimensionUniqueName="[Perfiles_jugador]" displayFolder="" count="0" memberValueDatatype="20" unbalanced="0"/>
    <cacheHierarchy uniqueName="[Perfiles_jugador].[valor_mercado]" caption="valor_mercado" attribute="1" defaultMemberUniqueName="[Perfiles_jugador].[valor_mercado].[All]" allUniqueName="[Perfiles_jugador].[valor_mercado].[All]" dimensionUniqueName="[Perfiles_jugador]" displayFolder="" count="0" memberValueDatatype="5" unbalanced="0"/>
    <cacheHierarchy uniqueName="[Measures].[__XL_Count Perfiles_jugador]" caption="__XL_Count Perfiles_jugador" measure="1" displayFolder="" measureGroup="Perfiles_jugador" count="0" hidden="1"/>
    <cacheHierarchy uniqueName="[Measures].[__XL_Count Estadisticas_jugador]" caption="__XL_Count Estadisticas_jugador" measure="1" displayFolder="" measureGroup="Estadisticas_jugador" count="0" hidden="1"/>
    <cacheHierarchy uniqueName="[Measures].[__No measures defined]" caption="__No measures defined" measure="1" displayFolder="" count="0" hidden="1"/>
    <cacheHierarchy uniqueName="[Measures].[Suma de market_value]" caption="Suma de market_value" measure="1" displayFolder="" measureGroup="Perfiles_jugador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valor_mercado]" caption="Suma de valor_mercado" measure="1" displayFolder="" measureGroup="Perfiles_jugado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Promedio de valor_mercado]" caption="Promedio de valor_mercado" measure="1" displayFolder="" measureGroup="Perfiles_jugado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rating]" caption="Suma de rating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rating]" caption="Promedio de rating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goals]" caption="Suma de goal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assists]" caption="Suma de assist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expected_assists]" caption="Suma de expected_assist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expected_goals]" caption="Suma de expected_goal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minutes_played]" caption="Suma de minutes_played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tackles]" caption="Suma de tackle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interceptions]" caption="Suma de interception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tackles_e_intercepciones]" caption="Suma de tackles_e_intercepcione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saves]" caption="Suma de saves" measure="1" displayFolder="" measureGroup="Estadisticas_jugado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644504199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2A0B95-5393-44DB-BE59-AB04CC2C4D32}" name="TablaDinámica9" cacheId="3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 rowHeaderCaption="JUGADOR">
  <location ref="C49:D55" firstHeaderRow="1" firstDataRow="1" firstDataCol="1"/>
  <pivotFields count="3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 v="2"/>
    </i>
    <i>
      <x/>
    </i>
    <i>
      <x v="3"/>
    </i>
    <i>
      <x v="1"/>
    </i>
    <i>
      <x v="4"/>
    </i>
    <i t="grand">
      <x/>
    </i>
  </rowItems>
  <colItems count="1">
    <i/>
  </colItems>
  <dataFields count="1">
    <dataField name="TACKLES+INTERCEPCIONES" fld="1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ACKLES+INTERCEPCIONES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40">
      <autoFilter ref="A1">
        <filterColumn colId="0">
          <top10 val="5" filterVal="5"/>
        </filterColumn>
      </autoFilter>
    </filter>
  </filters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stadisticas_jugador]"/>
        <x15:activeTabTopLevelEntity name="[Perfiles_jugado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42151A-27DF-4A9C-8C7A-1364DA9DC8D0}" name="TablaDinámica8" cacheId="3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 rowHeaderCaption="JUGADOR">
  <location ref="H14:I20" firstHeaderRow="1" firstDataRow="1" firstDataCol="1" rowPageCount="1" colPageCount="1"/>
  <pivotFields count="3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ame="Posición"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6">
    <i>
      <x/>
    </i>
    <i>
      <x v="2"/>
    </i>
    <i>
      <x v="3"/>
    </i>
    <i>
      <x v="4"/>
    </i>
    <i>
      <x v="1"/>
    </i>
    <i t="grand">
      <x/>
    </i>
  </rowItems>
  <colItems count="1">
    <i/>
  </colItems>
  <pageFields count="1">
    <pageField fld="1" hier="22" name="[Perfiles_jugador].[position].[All]" cap="All"/>
  </pageFields>
  <dataFields count="1">
    <dataField name="Suma de saves" fld="2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ARADAS"/>
  </pivotHierarchies>
  <pivotTableStyleInfo name="PivotStyleLight16" showRowHeaders="1" showColHeaders="1" showRowStripes="0" showColStripes="0" showLastColumn="1"/>
  <filters count="1">
    <filter fld="0" type="count" id="1" iMeasureHier="41">
      <autoFilter ref="A1">
        <filterColumn colId="0">
          <top10 val="5" filterVal="5"/>
        </filterColumn>
      </autoFilter>
    </filter>
  </filters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erfiles_jugador]"/>
        <x15:activeTabTopLevelEntity name="[Estadisticas_jugado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C1A7AE-E7E2-4401-975A-26F9CA9270A2}" name="TablaDinámica2" cacheId="295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5" rowHeaderCaption="JUGADOR">
  <location ref="H3:K9" firstHeaderRow="0" firstDataRow="1" firstDataCol="1"/>
  <pivotFields count="5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 v="2"/>
    </i>
    <i>
      <x/>
    </i>
    <i>
      <x v="3"/>
    </i>
    <i>
      <x v="1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INTERCEPCIONES" fld="1" baseField="0" baseItem="0"/>
    <dataField name="TACKLES" fld="3" baseField="0" baseItem="0"/>
    <dataField name="TACKLES+INTERCEPCIONES" fld="2" baseField="0" baseItem="0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ACKLES"/>
    <pivotHierarchy dragToData="1" caption="INTERCEPCIONES"/>
    <pivotHierarchy dragToData="1" caption="TACKLES+INTERCEPCIONES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40">
      <autoFilter ref="A1">
        <filterColumn colId="0">
          <top10 val="5" filterVal="5"/>
        </filterColumn>
      </autoFilter>
    </filter>
  </filters>
  <rowHierarchiesUsage count="1"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erfiles_jugador]"/>
        <x15:activeTabTopLevelEntity name="[Estadisticas_jugado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295570-30E9-4B3C-881D-329BD007CF34}" name="TablaDinámica1" cacheId="29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JUGADOR">
  <location ref="E14:F20" firstHeaderRow="1" firstDataRow="1" firstDataCol="1" rowPageCount="1" colPageCount="1"/>
  <pivotFields count="4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name="¿Ha jugado 900 min?" axis="axisPage"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6">
    <i>
      <x v="2"/>
    </i>
    <i>
      <x v="1"/>
    </i>
    <i>
      <x v="3"/>
    </i>
    <i>
      <x v="4"/>
    </i>
    <i>
      <x/>
    </i>
    <i t="grand">
      <x/>
    </i>
  </rowItems>
  <colItems count="1">
    <i/>
  </colItems>
  <pageFields count="1">
    <pageField fld="2" hier="5" name="[Estadisticas_jugador].[900 min].&amp;[Si]" cap="Si"/>
  </pageFields>
  <dataFields count="1">
    <dataField name="RATING PROMEDIO" fld="1" subtotal="average" baseField="0" baseItem="0"/>
  </dataFields>
  <pivotHierarchies count="42"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Estadisticas_jugador].[900 min].&amp;[Si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RATING PROMEDI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32">
      <autoFilter ref="A1">
        <filterColumn colId="0">
          <top10 val="5" filterVal="5"/>
        </filterColumn>
      </autoFilter>
    </filter>
  </filters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erfiles_jugador]"/>
        <x15:activeTabTopLevelEntity name="[Estadisticas_jugado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F1DAB3-3C17-458A-BB22-793BB92281EC}" name="TablaDinámica6" cacheId="30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 rowHeaderCaption="JUGADOR">
  <location ref="E3:F9" firstHeaderRow="1" firstDataRow="1" firstDataCol="1"/>
  <pivotFields count="3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 v="2"/>
    </i>
    <i>
      <x v="1"/>
    </i>
    <i>
      <x v="4"/>
    </i>
    <i>
      <x v="3"/>
    </i>
    <i>
      <x/>
    </i>
    <i t="grand">
      <x/>
    </i>
  </rowItems>
  <colItems count="1">
    <i/>
  </colItems>
  <dataFields count="1">
    <dataField name="VALOR DE MERCADO" fld="1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VALOR DE MERCAD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9">
      <autoFilter ref="A1">
        <filterColumn colId="0">
          <top10 val="5" filterVal="5"/>
        </filterColumn>
      </autoFilter>
    </filter>
  </filters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stadisticas_jugador]"/>
        <x15:activeTabTopLevelEntity name="[Perfiles_jugado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D586B7-45FA-4776-9A97-0B2293D3DD20}" name="TablaDinámica5" cacheId="30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 rowHeaderCaption="JUGADOR">
  <location ref="A21:C27" firstHeaderRow="0" firstDataRow="1" firstDataCol="1"/>
  <pivotFields count="4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 v="4"/>
    </i>
    <i>
      <x v="3"/>
    </i>
    <i>
      <x/>
    </i>
    <i>
      <x v="2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SISTENCIAS" fld="1" baseField="0" baseItem="0"/>
    <dataField name="ASISTENCIAS ESPERADAS" fld="2" baseField="0" baseItem="0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SISTENCIAS"/>
    <pivotHierarchy dragToData="1" caption="ASISTENCIAS ESPERADAS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4">
      <autoFilter ref="A1">
        <filterColumn colId="0">
          <top10 val="5" filterVal="5"/>
        </filterColumn>
      </autoFilter>
    </filter>
  </filters>
  <rowHierarchiesUsage count="1"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erfiles_jugador]"/>
        <x15:activeTabTopLevelEntity name="[Estadisticas_jugado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A3ED97-2F28-4722-A5D6-1604CDD7A03B}" name="TablaDinámica4" cacheId="2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 rowHeaderCaption="JUGADOR">
  <location ref="A12:C18" firstHeaderRow="0" firstDataRow="1" firstDataCol="1"/>
  <pivotFields count="5"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2"/>
  </rowFields>
  <rowItems count="6">
    <i>
      <x v="2"/>
    </i>
    <i>
      <x v="4"/>
    </i>
    <i>
      <x v="3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GOLES" fld="1" baseField="0" baseItem="0"/>
    <dataField name="GOLES ESPERADOS" fld="3" baseField="0" baseItem="0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GOLES"/>
    <pivotHierarchy dragToData="1"/>
    <pivotHierarchy dragToData="1"/>
    <pivotHierarchy dragToData="1" caption="GOLES ESPERADOS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2" type="count" id="4" iMeasureHier="33">
      <autoFilter ref="A1">
        <filterColumn colId="0">
          <top10 val="5" filterVal="5"/>
        </filterColumn>
      </autoFilter>
    </filter>
    <filter fld="0" type="count" id="1" iMeasureHier="33">
      <autoFilter ref="A1">
        <filterColumn colId="0">
          <top10 val="5" filterVal="5"/>
        </filterColumn>
      </autoFilter>
    </filter>
  </filters>
  <rowHierarchiesUsage count="1"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stadisticas_jugador]"/>
        <x15:activeTabTopLevelEntity name="[Perfiles_jugado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F7DE86-5B4B-4E9B-A157-047F95559CE1}" name="TablaDinámica3" cacheId="28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 rowHeaderCaption="POSICION">
  <location ref="A3:C8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VALOR DE MERCADO MEDIO" fld="1" subtotal="average" baseField="0" baseItem="0"/>
    <dataField name="RATING PROMEDIO" fld="2" subtotal="average" baseField="0" baseItem="0"/>
  </dataField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VALOR DE MERCADO MEDIO"/>
    <pivotHierarchy dragToData="1"/>
    <pivotHierarchy dragToData="1" caption="RATING PROMEDI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stadisticas_jugador]"/>
        <x15:activeTabTopLevelEntity name="[Perfiles_jugado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2" xr16:uid="{07F3118F-8958-452B-B9EF-4075135A4244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player_id" tableColumnId="1"/>
      <queryTableField id="2" name="name" tableColumnId="2"/>
      <queryTableField id="3" name="league" tableColumnId="3"/>
      <queryTableField id="4" name="position" tableColumnId="4"/>
      <queryTableField id="5" name="market_value" tableColumnId="5"/>
      <queryTableField id="6" dataBound="0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8FBF121-F1F3-42C1-89E5-42C0BCDF1BC7}" autoFormatId="16" applyNumberFormats="0" applyBorderFormats="0" applyFontFormats="0" applyPatternFormats="0" applyAlignmentFormats="0" applyWidthHeightFormats="0">
  <queryTableRefresh nextId="20">
    <queryTableFields count="19">
      <queryTableField id="1" name="player_id" tableColumnId="1"/>
      <queryTableField id="2" name="league" tableColumnId="2"/>
      <queryTableField id="3" name="appearances" tableColumnId="3"/>
      <queryTableField id="4" name="matches_started" tableColumnId="4"/>
      <queryTableField id="5" name="minutes_played" tableColumnId="5"/>
      <queryTableField id="18" dataBound="0" tableColumnId="18"/>
      <queryTableField id="6" name="goals" tableColumnId="6"/>
      <queryTableField id="7" name="assists" tableColumnId="7"/>
      <queryTableField id="8" name="expected_goals" tableColumnId="8"/>
      <queryTableField id="9" name="expected_assists" tableColumnId="9"/>
      <queryTableField id="10" name="rating" tableColumnId="10"/>
      <queryTableField id="11" name="total_shots" tableColumnId="11"/>
      <queryTableField id="12" name="shots_on_target" tableColumnId="12"/>
      <queryTableField id="13" name="yellow_cards" tableColumnId="13"/>
      <queryTableField id="14" name="red_cards" tableColumnId="14"/>
      <queryTableField id="15" name="tackles" tableColumnId="15"/>
      <queryTableField id="16" name="interceptions" tableColumnId="16"/>
      <queryTableField id="19" dataBound="0" tableColumnId="19"/>
      <queryTableField id="17" name="saves" tableColumnId="1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osition" xr10:uid="{6E644ADF-B740-4EA3-964D-E30D96695B4B}" sourceName="[Perfiles_jugador].[position]">
  <pivotTables>
    <pivotTable tabId="6" name="TablaDinámica3"/>
    <pivotTable tabId="6" name="TablaDinámica1"/>
    <pivotTable tabId="6" name="TablaDinámica2"/>
    <pivotTable tabId="6" name="TablaDinámica4"/>
    <pivotTable tabId="6" name="TablaDinámica5"/>
    <pivotTable tabId="6" name="TablaDinámica6"/>
    <pivotTable tabId="6" name="TablaDinámica8"/>
    <pivotTable tabId="6" name="TablaDinámica9"/>
  </pivotTables>
  <data>
    <olap pivotCacheId="1644504199">
      <levels count="2">
        <level uniqueName="[Perfiles_jugador].[position].[(All)]" sourceCaption="(All)" count="0"/>
        <level uniqueName="[Perfiles_jugador].[position].[position]" sourceCaption="position" count="4">
          <ranges>
            <range startItem="0">
              <i n="[Perfiles_jugador].[position].&amp;[Defensa]" c="Defensa"/>
              <i n="[Perfiles_jugador].[position].&amp;[Delantero]" c="Delantero"/>
              <i n="[Perfiles_jugador].[position].&amp;[Mediocentro]" c="Mediocentro"/>
              <i n="[Perfiles_jugador].[position].&amp;[Portero]" c="Portero"/>
            </range>
          </ranges>
        </level>
      </levels>
      <selections count="1">
        <selection n="[Perfiles_jugador].[position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osition" xr10:uid="{CC5AB5CF-B8FE-476F-A3EA-9BDF335AB909}" cache="SegmentaciónDeDatos_position" caption="position" columnCount="4" level="1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AB9766-4A80-4762-91BE-A4B4DC207209}" name="Perfiles_jugador" displayName="Perfiles_jugador" ref="A1:F531" tableType="queryTable" totalsRowShown="0">
  <autoFilter ref="A1:F531" xr:uid="{B5AB9766-4A80-4762-91BE-A4B4DC207209}"/>
  <tableColumns count="6">
    <tableColumn id="1" xr3:uid="{CCAEC08E-409C-42F9-99D2-017D1F6B842E}" uniqueName="1" name="player_id" queryTableFieldId="1"/>
    <tableColumn id="2" xr3:uid="{2766ECAA-259E-454E-BB78-F641052C658E}" uniqueName="2" name="name" queryTableFieldId="2" dataDxfId="7"/>
    <tableColumn id="3" xr3:uid="{BC9E91DC-B385-482A-8282-6F47AEC52F3C}" uniqueName="3" name="league" queryTableFieldId="3" dataDxfId="6"/>
    <tableColumn id="4" xr3:uid="{B5082A18-F89C-451B-A5D4-F62808591190}" uniqueName="4" name="position" queryTableFieldId="4" dataDxfId="5"/>
    <tableColumn id="5" xr3:uid="{86386F5F-98E2-48CB-97DC-380E4070CF9E}" uniqueName="5" name="market_value" queryTableFieldId="5"/>
    <tableColumn id="6" xr3:uid="{29DCBD59-A308-4123-97BD-32BF4AFBFE4B}" uniqueName="6" name="valor_mercado" queryTableFieldId="6" dataDxfId="4">
      <calculatedColumnFormula>Perfiles_jugador[[#This Row],[market_value]]/1000000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03DEEA-4C5A-4475-BB53-3B81EF275FAD}" name="Estadisticas_jugador" displayName="Estadisticas_jugador" ref="A1:S488" tableType="queryTable" totalsRowShown="0">
  <autoFilter ref="A1:S488" xr:uid="{CB03DEEA-4C5A-4475-BB53-3B81EF275FAD}"/>
  <tableColumns count="19">
    <tableColumn id="1" xr3:uid="{CBC6CF42-2C92-4337-A1F5-D16D98455554}" uniqueName="1" name="player_id" queryTableFieldId="1" dataDxfId="3"/>
    <tableColumn id="2" xr3:uid="{1E6C751D-E056-4953-8400-8130C1F51CEF}" uniqueName="2" name="league" queryTableFieldId="2" dataDxfId="2"/>
    <tableColumn id="3" xr3:uid="{E271E052-4C88-415F-9E44-347FD39DA56C}" uniqueName="3" name="appearances" queryTableFieldId="3"/>
    <tableColumn id="4" xr3:uid="{AA5F71D0-DA4E-43C4-B800-F451E593247E}" uniqueName="4" name="matches_started" queryTableFieldId="4"/>
    <tableColumn id="5" xr3:uid="{C2599340-00D5-42E0-96B3-3C9E8E7048AE}" uniqueName="5" name="minutes_played" queryTableFieldId="5"/>
    <tableColumn id="18" xr3:uid="{4F2F67BB-C15B-4598-B96F-76733A12DF28}" uniqueName="18" name="900 min" queryTableFieldId="18" dataDxfId="1">
      <calculatedColumnFormula>IF(Estadisticas_jugador[[#This Row],[minutes_played]]&gt;900, "Si", "No")</calculatedColumnFormula>
    </tableColumn>
    <tableColumn id="6" xr3:uid="{D0C62E14-27F8-4C15-A6E9-1DC3C91A12B9}" uniqueName="6" name="goals" queryTableFieldId="6"/>
    <tableColumn id="7" xr3:uid="{6F2146F4-E2B2-4263-820C-ABE95E352007}" uniqueName="7" name="assists" queryTableFieldId="7"/>
    <tableColumn id="8" xr3:uid="{B5599282-510B-4DBE-9E13-515D0EA296DA}" uniqueName="8" name="expected_goals" queryTableFieldId="8"/>
    <tableColumn id="9" xr3:uid="{91E4D11A-BBDD-44C1-B3C1-23A1FAA55B9F}" uniqueName="9" name="expected_assists" queryTableFieldId="9"/>
    <tableColumn id="10" xr3:uid="{9CF1008A-8C1A-4D87-895F-C16A63415637}" uniqueName="10" name="rating" queryTableFieldId="10"/>
    <tableColumn id="11" xr3:uid="{A3183696-5207-4F48-AA48-76BE44A9540F}" uniqueName="11" name="total_shots" queryTableFieldId="11"/>
    <tableColumn id="12" xr3:uid="{709C4666-AB38-4AAE-A432-051156FCA47E}" uniqueName="12" name="shots_on_target" queryTableFieldId="12"/>
    <tableColumn id="13" xr3:uid="{649A215C-B485-4FB4-B6F7-86F691FA5D3C}" uniqueName="13" name="yellow_cards" queryTableFieldId="13"/>
    <tableColumn id="14" xr3:uid="{AE91EBD8-28F7-4DBD-9AF5-D4383B6310E5}" uniqueName="14" name="red_cards" queryTableFieldId="14"/>
    <tableColumn id="15" xr3:uid="{5BEDED9F-9465-4050-A8C0-F6CF2A654F9D}" uniqueName="15" name="tackles" queryTableFieldId="15"/>
    <tableColumn id="16" xr3:uid="{1AEF831A-0BB1-4FD8-80C6-6D44A3414E45}" uniqueName="16" name="interceptions" queryTableFieldId="16"/>
    <tableColumn id="19" xr3:uid="{EC6CDF66-8AE8-4DA3-A5AA-8621BFE3F015}" uniqueName="19" name="tackles_e_intercepciones" queryTableFieldId="19" dataDxfId="0">
      <calculatedColumnFormula>Estadisticas_jugador[[#This Row],[tackles]]+Estadisticas_jugador[[#This Row],[interceptions]]</calculatedColumnFormula>
    </tableColumn>
    <tableColumn id="17" xr3:uid="{A80B7EF0-B452-4CF5-9767-8BC83782DDC9}" uniqueName="17" name="saves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095C8-A864-4026-A2B8-0C864A09946F}">
  <dimension ref="A1:F531"/>
  <sheetViews>
    <sheetView topLeftCell="A505" workbookViewId="0">
      <selection activeCell="A2" sqref="A2"/>
    </sheetView>
  </sheetViews>
  <sheetFormatPr baseColWidth="10" defaultRowHeight="14.4" x14ac:dyDescent="0.3"/>
  <cols>
    <col min="1" max="1" width="10.88671875" bestFit="1" customWidth="1"/>
    <col min="2" max="2" width="22.88671875" bestFit="1" customWidth="1"/>
    <col min="3" max="3" width="8.6640625" bestFit="1" customWidth="1"/>
    <col min="4" max="4" width="11.109375" bestFit="1" customWidth="1"/>
    <col min="5" max="5" width="14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1047</v>
      </c>
    </row>
    <row r="2" spans="1:6" x14ac:dyDescent="0.3">
      <c r="A2">
        <v>41789</v>
      </c>
      <c r="B2" t="s">
        <v>6</v>
      </c>
      <c r="C2" t="s">
        <v>7</v>
      </c>
      <c r="D2" t="s">
        <v>1037</v>
      </c>
      <c r="E2">
        <v>8400000</v>
      </c>
      <c r="F2">
        <f>Perfiles_jugador[[#This Row],[market_value]]/1000000</f>
        <v>8.4</v>
      </c>
    </row>
    <row r="3" spans="1:6" x14ac:dyDescent="0.3">
      <c r="A3">
        <v>855833</v>
      </c>
      <c r="B3" t="s">
        <v>8</v>
      </c>
      <c r="C3" t="s">
        <v>7</v>
      </c>
      <c r="D3" t="s">
        <v>1037</v>
      </c>
      <c r="E3">
        <v>54000000</v>
      </c>
      <c r="F3">
        <f>Perfiles_jugador[[#This Row],[market_value]]/1000000</f>
        <v>54</v>
      </c>
    </row>
    <row r="4" spans="1:6" x14ac:dyDescent="0.3">
      <c r="A4">
        <v>1162107</v>
      </c>
      <c r="B4" t="s">
        <v>9</v>
      </c>
      <c r="C4" t="s">
        <v>7</v>
      </c>
      <c r="D4" t="s">
        <v>1037</v>
      </c>
      <c r="E4">
        <v>15500000</v>
      </c>
      <c r="F4">
        <f>Perfiles_jugador[[#This Row],[market_value]]/1000000</f>
        <v>15.5</v>
      </c>
    </row>
    <row r="5" spans="1:6" x14ac:dyDescent="0.3">
      <c r="A5">
        <v>1402912</v>
      </c>
      <c r="B5" t="s">
        <v>10</v>
      </c>
      <c r="C5" t="s">
        <v>7</v>
      </c>
      <c r="D5" t="s">
        <v>1038</v>
      </c>
      <c r="E5">
        <v>215000000</v>
      </c>
      <c r="F5">
        <f>Perfiles_jugador[[#This Row],[market_value]]/1000000</f>
        <v>215</v>
      </c>
    </row>
    <row r="6" spans="1:6" x14ac:dyDescent="0.3">
      <c r="A6">
        <v>831005</v>
      </c>
      <c r="B6" t="s">
        <v>11</v>
      </c>
      <c r="C6" t="s">
        <v>7</v>
      </c>
      <c r="D6" t="s">
        <v>1038</v>
      </c>
      <c r="E6">
        <v>72000000</v>
      </c>
      <c r="F6">
        <f>Perfiles_jugador[[#This Row],[market_value]]/1000000</f>
        <v>72</v>
      </c>
    </row>
    <row r="7" spans="1:6" x14ac:dyDescent="0.3">
      <c r="A7">
        <v>992587</v>
      </c>
      <c r="B7" t="s">
        <v>12</v>
      </c>
      <c r="C7" t="s">
        <v>7</v>
      </c>
      <c r="D7" t="s">
        <v>1038</v>
      </c>
      <c r="E7">
        <v>153000000</v>
      </c>
      <c r="F7">
        <f>Perfiles_jugador[[#This Row],[market_value]]/1000000</f>
        <v>153</v>
      </c>
    </row>
    <row r="8" spans="1:6" x14ac:dyDescent="0.3">
      <c r="A8">
        <v>814590</v>
      </c>
      <c r="B8" t="s">
        <v>13</v>
      </c>
      <c r="C8" t="s">
        <v>7</v>
      </c>
      <c r="D8" t="s">
        <v>1038</v>
      </c>
      <c r="E8">
        <v>38000000</v>
      </c>
      <c r="F8">
        <f>Perfiles_jugador[[#This Row],[market_value]]/1000000</f>
        <v>38</v>
      </c>
    </row>
    <row r="9" spans="1:6" x14ac:dyDescent="0.3">
      <c r="A9">
        <v>1103693</v>
      </c>
      <c r="B9" t="s">
        <v>14</v>
      </c>
      <c r="C9" t="s">
        <v>7</v>
      </c>
      <c r="D9" t="s">
        <v>1038</v>
      </c>
      <c r="E9">
        <v>31000000</v>
      </c>
      <c r="F9">
        <f>Perfiles_jugador[[#This Row],[market_value]]/1000000</f>
        <v>31</v>
      </c>
    </row>
    <row r="10" spans="1:6" x14ac:dyDescent="0.3">
      <c r="A10">
        <v>795222</v>
      </c>
      <c r="B10" t="s">
        <v>15</v>
      </c>
      <c r="C10" t="s">
        <v>7</v>
      </c>
      <c r="D10" t="s">
        <v>1038</v>
      </c>
      <c r="E10">
        <v>42000000</v>
      </c>
      <c r="F10">
        <f>Perfiles_jugador[[#This Row],[market_value]]/1000000</f>
        <v>42</v>
      </c>
    </row>
    <row r="11" spans="1:6" x14ac:dyDescent="0.3">
      <c r="A11">
        <v>789071</v>
      </c>
      <c r="B11" t="s">
        <v>16</v>
      </c>
      <c r="C11" t="s">
        <v>7</v>
      </c>
      <c r="D11" t="s">
        <v>1038</v>
      </c>
      <c r="E11">
        <v>58000000</v>
      </c>
      <c r="F11">
        <f>Perfiles_jugador[[#This Row],[market_value]]/1000000</f>
        <v>58</v>
      </c>
    </row>
    <row r="12" spans="1:6" x14ac:dyDescent="0.3">
      <c r="A12">
        <v>1153270</v>
      </c>
      <c r="B12" t="s">
        <v>17</v>
      </c>
      <c r="C12" t="s">
        <v>7</v>
      </c>
      <c r="D12" t="s">
        <v>1038</v>
      </c>
      <c r="E12">
        <v>103000000</v>
      </c>
      <c r="F12">
        <f>Perfiles_jugador[[#This Row],[market_value]]/1000000</f>
        <v>103</v>
      </c>
    </row>
    <row r="13" spans="1:6" x14ac:dyDescent="0.3">
      <c r="A13">
        <v>1526618</v>
      </c>
      <c r="B13" t="s">
        <v>18</v>
      </c>
      <c r="C13" t="s">
        <v>7</v>
      </c>
      <c r="D13" t="s">
        <v>1038</v>
      </c>
      <c r="E13">
        <v>29000000</v>
      </c>
      <c r="F13">
        <f>Perfiles_jugador[[#This Row],[market_value]]/1000000</f>
        <v>29</v>
      </c>
    </row>
    <row r="14" spans="1:6" x14ac:dyDescent="0.3">
      <c r="A14">
        <v>1000483</v>
      </c>
      <c r="B14" t="s">
        <v>19</v>
      </c>
      <c r="C14" t="s">
        <v>7</v>
      </c>
      <c r="D14" t="s">
        <v>1038</v>
      </c>
      <c r="E14">
        <v>24000000</v>
      </c>
      <c r="F14">
        <f>Perfiles_jugador[[#This Row],[market_value]]/1000000</f>
        <v>24</v>
      </c>
    </row>
    <row r="15" spans="1:6" x14ac:dyDescent="0.3">
      <c r="A15">
        <v>1939137</v>
      </c>
      <c r="B15" t="s">
        <v>20</v>
      </c>
      <c r="C15" t="s">
        <v>7</v>
      </c>
      <c r="D15" t="s">
        <v>1038</v>
      </c>
      <c r="E15">
        <v>1000000</v>
      </c>
      <c r="F15">
        <f>Perfiles_jugador[[#This Row],[market_value]]/1000000</f>
        <v>1</v>
      </c>
    </row>
    <row r="16" spans="1:6" x14ac:dyDescent="0.3">
      <c r="A16">
        <v>1402913</v>
      </c>
      <c r="B16" t="s">
        <v>21</v>
      </c>
      <c r="C16" t="s">
        <v>7</v>
      </c>
      <c r="D16" t="s">
        <v>1039</v>
      </c>
      <c r="E16">
        <v>75000000</v>
      </c>
      <c r="F16">
        <f>Perfiles_jugador[[#This Row],[market_value]]/1000000</f>
        <v>75</v>
      </c>
    </row>
    <row r="17" spans="1:6" x14ac:dyDescent="0.3">
      <c r="A17">
        <v>827212</v>
      </c>
      <c r="B17" t="s">
        <v>22</v>
      </c>
      <c r="C17" t="s">
        <v>7</v>
      </c>
      <c r="D17" t="s">
        <v>1039</v>
      </c>
      <c r="E17">
        <v>69000000</v>
      </c>
      <c r="F17">
        <f>Perfiles_jugador[[#This Row],[market_value]]/1000000</f>
        <v>69</v>
      </c>
    </row>
    <row r="18" spans="1:6" x14ac:dyDescent="0.3">
      <c r="A18">
        <v>997035</v>
      </c>
      <c r="B18" t="s">
        <v>23</v>
      </c>
      <c r="C18" t="s">
        <v>7</v>
      </c>
      <c r="D18" t="s">
        <v>1039</v>
      </c>
      <c r="E18">
        <v>66000000</v>
      </c>
      <c r="F18">
        <f>Perfiles_jugador[[#This Row],[market_value]]/1000000</f>
        <v>66</v>
      </c>
    </row>
    <row r="19" spans="1:6" x14ac:dyDescent="0.3">
      <c r="A19">
        <v>925097</v>
      </c>
      <c r="B19" t="s">
        <v>24</v>
      </c>
      <c r="C19" t="s">
        <v>7</v>
      </c>
      <c r="D19" t="s">
        <v>1039</v>
      </c>
      <c r="E19">
        <v>27000000</v>
      </c>
      <c r="F19">
        <f>Perfiles_jugador[[#This Row],[market_value]]/1000000</f>
        <v>27</v>
      </c>
    </row>
    <row r="20" spans="1:6" x14ac:dyDescent="0.3">
      <c r="A20">
        <v>138892</v>
      </c>
      <c r="B20" t="s">
        <v>25</v>
      </c>
      <c r="C20" t="s">
        <v>7</v>
      </c>
      <c r="D20" t="s">
        <v>1039</v>
      </c>
      <c r="E20">
        <v>10700000</v>
      </c>
      <c r="F20">
        <f>Perfiles_jugador[[#This Row],[market_value]]/1000000</f>
        <v>10.7</v>
      </c>
    </row>
    <row r="21" spans="1:6" x14ac:dyDescent="0.3">
      <c r="A21">
        <v>186795</v>
      </c>
      <c r="B21" t="s">
        <v>26</v>
      </c>
      <c r="C21" t="s">
        <v>7</v>
      </c>
      <c r="D21" t="s">
        <v>1039</v>
      </c>
      <c r="E21">
        <v>9600000</v>
      </c>
      <c r="F21">
        <f>Perfiles_jugador[[#This Row],[market_value]]/1000000</f>
        <v>9.6</v>
      </c>
    </row>
    <row r="22" spans="1:6" x14ac:dyDescent="0.3">
      <c r="A22">
        <v>876214</v>
      </c>
      <c r="B22" t="s">
        <v>27</v>
      </c>
      <c r="C22" t="s">
        <v>7</v>
      </c>
      <c r="D22" t="s">
        <v>1039</v>
      </c>
      <c r="E22">
        <v>29000000</v>
      </c>
      <c r="F22">
        <f>Perfiles_jugador[[#This Row],[market_value]]/1000000</f>
        <v>29</v>
      </c>
    </row>
    <row r="23" spans="1:6" x14ac:dyDescent="0.3">
      <c r="A23">
        <v>1094827</v>
      </c>
      <c r="B23" t="s">
        <v>28</v>
      </c>
      <c r="C23" t="s">
        <v>7</v>
      </c>
      <c r="D23" t="s">
        <v>1039</v>
      </c>
      <c r="E23">
        <v>18200000</v>
      </c>
      <c r="F23">
        <f>Perfiles_jugador[[#This Row],[market_value]]/1000000</f>
        <v>18.2</v>
      </c>
    </row>
    <row r="24" spans="1:6" x14ac:dyDescent="0.3">
      <c r="A24">
        <v>1546073</v>
      </c>
      <c r="B24" t="s">
        <v>29</v>
      </c>
      <c r="C24" t="s">
        <v>7</v>
      </c>
      <c r="D24" t="s">
        <v>1039</v>
      </c>
      <c r="E24">
        <v>320000</v>
      </c>
      <c r="F24">
        <f>Perfiles_jugador[[#This Row],[market_value]]/1000000</f>
        <v>0.32</v>
      </c>
    </row>
    <row r="25" spans="1:6" x14ac:dyDescent="0.3">
      <c r="A25">
        <v>1464652</v>
      </c>
      <c r="B25" t="s">
        <v>30</v>
      </c>
      <c r="C25" t="s">
        <v>7</v>
      </c>
      <c r="D25" t="s">
        <v>1039</v>
      </c>
      <c r="E25">
        <v>270000</v>
      </c>
      <c r="F25">
        <f>Perfiles_jugador[[#This Row],[market_value]]/1000000</f>
        <v>0.27</v>
      </c>
    </row>
    <row r="26" spans="1:6" x14ac:dyDescent="0.3">
      <c r="A26">
        <v>930267</v>
      </c>
      <c r="B26" t="s">
        <v>31</v>
      </c>
      <c r="C26" t="s">
        <v>7</v>
      </c>
      <c r="D26" t="s">
        <v>1040</v>
      </c>
      <c r="E26">
        <v>31000000</v>
      </c>
      <c r="F26">
        <f>Perfiles_jugador[[#This Row],[market_value]]/1000000</f>
        <v>31</v>
      </c>
    </row>
    <row r="27" spans="1:6" x14ac:dyDescent="0.3">
      <c r="A27">
        <v>50490</v>
      </c>
      <c r="B27" t="s">
        <v>32</v>
      </c>
      <c r="C27" t="s">
        <v>7</v>
      </c>
      <c r="D27" t="s">
        <v>1040</v>
      </c>
      <c r="E27">
        <v>820000</v>
      </c>
      <c r="F27">
        <f>Perfiles_jugador[[#This Row],[market_value]]/1000000</f>
        <v>0.82</v>
      </c>
    </row>
    <row r="28" spans="1:6" x14ac:dyDescent="0.3">
      <c r="A28">
        <v>1402907</v>
      </c>
      <c r="B28" t="s">
        <v>33</v>
      </c>
      <c r="C28" t="s">
        <v>7</v>
      </c>
      <c r="D28" t="s">
        <v>1040</v>
      </c>
      <c r="E28">
        <v>455000</v>
      </c>
      <c r="F28">
        <f>Perfiles_jugador[[#This Row],[market_value]]/1000000</f>
        <v>0.45500000000000002</v>
      </c>
    </row>
    <row r="29" spans="1:6" x14ac:dyDescent="0.3">
      <c r="A29">
        <v>826643</v>
      </c>
      <c r="B29" t="s">
        <v>34</v>
      </c>
      <c r="C29" t="s">
        <v>7</v>
      </c>
      <c r="D29" t="s">
        <v>1037</v>
      </c>
      <c r="E29">
        <v>212000000</v>
      </c>
      <c r="F29">
        <f>Perfiles_jugador[[#This Row],[market_value]]/1000000</f>
        <v>212</v>
      </c>
    </row>
    <row r="30" spans="1:6" x14ac:dyDescent="0.3">
      <c r="A30">
        <v>868812</v>
      </c>
      <c r="B30" t="s">
        <v>35</v>
      </c>
      <c r="C30" t="s">
        <v>7</v>
      </c>
      <c r="D30" t="s">
        <v>1037</v>
      </c>
      <c r="E30">
        <v>156000000</v>
      </c>
      <c r="F30">
        <f>Perfiles_jugador[[#This Row],[market_value]]/1000000</f>
        <v>156</v>
      </c>
    </row>
    <row r="31" spans="1:6" x14ac:dyDescent="0.3">
      <c r="A31">
        <v>910536</v>
      </c>
      <c r="B31" t="s">
        <v>36</v>
      </c>
      <c r="C31" t="s">
        <v>7</v>
      </c>
      <c r="D31" t="s">
        <v>1037</v>
      </c>
      <c r="E31">
        <v>53000000</v>
      </c>
      <c r="F31">
        <f>Perfiles_jugador[[#This Row],[market_value]]/1000000</f>
        <v>53</v>
      </c>
    </row>
    <row r="32" spans="1:6" x14ac:dyDescent="0.3">
      <c r="A32">
        <v>1403559</v>
      </c>
      <c r="B32" t="s">
        <v>37</v>
      </c>
      <c r="C32" t="s">
        <v>7</v>
      </c>
      <c r="D32" t="s">
        <v>1037</v>
      </c>
      <c r="E32">
        <v>44000000</v>
      </c>
      <c r="F32">
        <f>Perfiles_jugador[[#This Row],[market_value]]/1000000</f>
        <v>44</v>
      </c>
    </row>
    <row r="33" spans="1:6" x14ac:dyDescent="0.3">
      <c r="A33">
        <v>1402716</v>
      </c>
      <c r="B33" t="s">
        <v>38</v>
      </c>
      <c r="C33" t="s">
        <v>7</v>
      </c>
      <c r="D33" t="s">
        <v>1037</v>
      </c>
      <c r="E33">
        <v>31000000</v>
      </c>
      <c r="F33">
        <f>Perfiles_jugador[[#This Row],[market_value]]/1000000</f>
        <v>31</v>
      </c>
    </row>
    <row r="34" spans="1:6" x14ac:dyDescent="0.3">
      <c r="A34">
        <v>991011</v>
      </c>
      <c r="B34" t="s">
        <v>39</v>
      </c>
      <c r="C34" t="s">
        <v>7</v>
      </c>
      <c r="D34" t="s">
        <v>1038</v>
      </c>
      <c r="E34">
        <v>132000000</v>
      </c>
      <c r="F34">
        <f>Perfiles_jugador[[#This Row],[market_value]]/1000000</f>
        <v>132</v>
      </c>
    </row>
    <row r="35" spans="1:6" x14ac:dyDescent="0.3">
      <c r="A35">
        <v>831808</v>
      </c>
      <c r="B35" t="s">
        <v>40</v>
      </c>
      <c r="C35" t="s">
        <v>7</v>
      </c>
      <c r="D35" t="s">
        <v>1038</v>
      </c>
      <c r="E35">
        <v>116000000</v>
      </c>
      <c r="F35">
        <f>Perfiles_jugador[[#This Row],[market_value]]/1000000</f>
        <v>116</v>
      </c>
    </row>
    <row r="36" spans="1:6" x14ac:dyDescent="0.3">
      <c r="A36">
        <v>1091116</v>
      </c>
      <c r="B36" t="s">
        <v>41</v>
      </c>
      <c r="C36" t="s">
        <v>7</v>
      </c>
      <c r="D36" t="s">
        <v>1038</v>
      </c>
      <c r="E36">
        <v>87000000</v>
      </c>
      <c r="F36">
        <f>Perfiles_jugador[[#This Row],[market_value]]/1000000</f>
        <v>87</v>
      </c>
    </row>
    <row r="37" spans="1:6" x14ac:dyDescent="0.3">
      <c r="A37">
        <v>835485</v>
      </c>
      <c r="B37" t="s">
        <v>42</v>
      </c>
      <c r="C37" t="s">
        <v>7</v>
      </c>
      <c r="D37" t="s">
        <v>1038</v>
      </c>
      <c r="E37">
        <v>37000000</v>
      </c>
      <c r="F37">
        <f>Perfiles_jugador[[#This Row],[market_value]]/1000000</f>
        <v>37</v>
      </c>
    </row>
    <row r="38" spans="1:6" x14ac:dyDescent="0.3">
      <c r="A38">
        <v>973887</v>
      </c>
      <c r="B38" t="s">
        <v>43</v>
      </c>
      <c r="C38" t="s">
        <v>7</v>
      </c>
      <c r="D38" t="s">
        <v>1038</v>
      </c>
      <c r="E38">
        <v>48000000</v>
      </c>
      <c r="F38">
        <f>Perfiles_jugador[[#This Row],[market_value]]/1000000</f>
        <v>48</v>
      </c>
    </row>
    <row r="39" spans="1:6" x14ac:dyDescent="0.3">
      <c r="A39">
        <v>859025</v>
      </c>
      <c r="B39" t="s">
        <v>44</v>
      </c>
      <c r="C39" t="s">
        <v>7</v>
      </c>
      <c r="D39" t="s">
        <v>1038</v>
      </c>
      <c r="E39">
        <v>78000000</v>
      </c>
      <c r="F39">
        <f>Perfiles_jugador[[#This Row],[market_value]]/1000000</f>
        <v>78</v>
      </c>
    </row>
    <row r="40" spans="1:6" x14ac:dyDescent="0.3">
      <c r="A40">
        <v>547838</v>
      </c>
      <c r="B40" t="s">
        <v>45</v>
      </c>
      <c r="C40" t="s">
        <v>7</v>
      </c>
      <c r="D40" t="s">
        <v>1038</v>
      </c>
      <c r="E40">
        <v>8400000</v>
      </c>
      <c r="F40">
        <f>Perfiles_jugador[[#This Row],[market_value]]/1000000</f>
        <v>8.4</v>
      </c>
    </row>
    <row r="41" spans="1:6" x14ac:dyDescent="0.3">
      <c r="A41">
        <v>2237795</v>
      </c>
      <c r="B41" t="s">
        <v>46</v>
      </c>
      <c r="C41" t="s">
        <v>7</v>
      </c>
      <c r="D41" t="s">
        <v>1038</v>
      </c>
      <c r="E41">
        <v>18200000</v>
      </c>
      <c r="F41">
        <f>Perfiles_jugador[[#This Row],[market_value]]/1000000</f>
        <v>18.2</v>
      </c>
    </row>
    <row r="42" spans="1:6" x14ac:dyDescent="0.3">
      <c r="A42">
        <v>795064</v>
      </c>
      <c r="B42" t="s">
        <v>47</v>
      </c>
      <c r="C42" t="s">
        <v>7</v>
      </c>
      <c r="D42" t="s">
        <v>1039</v>
      </c>
      <c r="E42">
        <v>67000000</v>
      </c>
      <c r="F42">
        <f>Perfiles_jugador[[#This Row],[market_value]]/1000000</f>
        <v>67</v>
      </c>
    </row>
    <row r="43" spans="1:6" x14ac:dyDescent="0.3">
      <c r="A43">
        <v>142622</v>
      </c>
      <c r="B43" t="s">
        <v>48</v>
      </c>
      <c r="C43" t="s">
        <v>7</v>
      </c>
      <c r="D43" t="s">
        <v>1039</v>
      </c>
      <c r="E43">
        <v>9300000</v>
      </c>
      <c r="F43">
        <f>Perfiles_jugador[[#This Row],[market_value]]/1000000</f>
        <v>9.3000000000000007</v>
      </c>
    </row>
    <row r="44" spans="1:6" x14ac:dyDescent="0.3">
      <c r="A44">
        <v>1176744</v>
      </c>
      <c r="B44" t="s">
        <v>49</v>
      </c>
      <c r="C44" t="s">
        <v>7</v>
      </c>
      <c r="D44" t="s">
        <v>1039</v>
      </c>
      <c r="E44">
        <v>71000000</v>
      </c>
      <c r="F44">
        <f>Perfiles_jugador[[#This Row],[market_value]]/1000000</f>
        <v>71</v>
      </c>
    </row>
    <row r="45" spans="1:6" x14ac:dyDescent="0.3">
      <c r="A45">
        <v>822519</v>
      </c>
      <c r="B45" t="s">
        <v>50</v>
      </c>
      <c r="C45" t="s">
        <v>7</v>
      </c>
      <c r="D45" t="s">
        <v>1039</v>
      </c>
      <c r="E45">
        <v>26000000</v>
      </c>
      <c r="F45">
        <f>Perfiles_jugador[[#This Row],[market_value]]/1000000</f>
        <v>26</v>
      </c>
    </row>
    <row r="46" spans="1:6" x14ac:dyDescent="0.3">
      <c r="A46">
        <v>138572</v>
      </c>
      <c r="B46" t="s">
        <v>51</v>
      </c>
      <c r="C46" t="s">
        <v>7</v>
      </c>
      <c r="D46" t="s">
        <v>1039</v>
      </c>
      <c r="E46">
        <v>5800000</v>
      </c>
      <c r="F46">
        <f>Perfiles_jugador[[#This Row],[market_value]]/1000000</f>
        <v>5.8</v>
      </c>
    </row>
    <row r="47" spans="1:6" x14ac:dyDescent="0.3">
      <c r="A47">
        <v>1156645</v>
      </c>
      <c r="B47" t="s">
        <v>52</v>
      </c>
      <c r="C47" t="s">
        <v>7</v>
      </c>
      <c r="D47" t="s">
        <v>1039</v>
      </c>
      <c r="E47">
        <v>23000000</v>
      </c>
      <c r="F47">
        <f>Perfiles_jugador[[#This Row],[market_value]]/1000000</f>
        <v>23</v>
      </c>
    </row>
    <row r="48" spans="1:6" x14ac:dyDescent="0.3">
      <c r="A48">
        <v>66492</v>
      </c>
      <c r="B48" t="s">
        <v>53</v>
      </c>
      <c r="C48" t="s">
        <v>7</v>
      </c>
      <c r="D48" t="s">
        <v>1039</v>
      </c>
      <c r="E48">
        <v>3200000</v>
      </c>
      <c r="F48">
        <f>Perfiles_jugador[[#This Row],[market_value]]/1000000</f>
        <v>3.2</v>
      </c>
    </row>
    <row r="49" spans="1:6" x14ac:dyDescent="0.3">
      <c r="A49">
        <v>1085081</v>
      </c>
      <c r="B49" t="s">
        <v>54</v>
      </c>
      <c r="C49" t="s">
        <v>7</v>
      </c>
      <c r="D49" t="s">
        <v>1039</v>
      </c>
      <c r="E49">
        <v>64000000</v>
      </c>
      <c r="F49">
        <f>Perfiles_jugador[[#This Row],[market_value]]/1000000</f>
        <v>64</v>
      </c>
    </row>
    <row r="50" spans="1:6" x14ac:dyDescent="0.3">
      <c r="A50">
        <v>792073</v>
      </c>
      <c r="B50" t="s">
        <v>55</v>
      </c>
      <c r="C50" t="s">
        <v>7</v>
      </c>
      <c r="D50" t="s">
        <v>1039</v>
      </c>
      <c r="E50">
        <v>6400000</v>
      </c>
      <c r="F50">
        <f>Perfiles_jugador[[#This Row],[market_value]]/1000000</f>
        <v>6.4</v>
      </c>
    </row>
    <row r="51" spans="1:6" x14ac:dyDescent="0.3">
      <c r="A51">
        <v>851271</v>
      </c>
      <c r="B51" t="s">
        <v>56</v>
      </c>
      <c r="C51" t="s">
        <v>7</v>
      </c>
      <c r="D51" t="s">
        <v>1039</v>
      </c>
      <c r="E51">
        <v>11100000</v>
      </c>
      <c r="F51">
        <f>Perfiles_jugador[[#This Row],[market_value]]/1000000</f>
        <v>11.1</v>
      </c>
    </row>
    <row r="52" spans="1:6" x14ac:dyDescent="0.3">
      <c r="A52">
        <v>70988</v>
      </c>
      <c r="B52" t="s">
        <v>57</v>
      </c>
      <c r="C52" t="s">
        <v>7</v>
      </c>
      <c r="D52" t="s">
        <v>1040</v>
      </c>
      <c r="E52">
        <v>17400000</v>
      </c>
      <c r="F52">
        <f>Perfiles_jugador[[#This Row],[market_value]]/1000000</f>
        <v>17.399999999999999</v>
      </c>
    </row>
    <row r="53" spans="1:6" x14ac:dyDescent="0.3">
      <c r="A53">
        <v>857574</v>
      </c>
      <c r="B53" t="s">
        <v>58</v>
      </c>
      <c r="C53" t="s">
        <v>7</v>
      </c>
      <c r="D53" t="s">
        <v>1040</v>
      </c>
      <c r="E53">
        <v>14100000</v>
      </c>
      <c r="F53">
        <f>Perfiles_jugador[[#This Row],[market_value]]/1000000</f>
        <v>14.1</v>
      </c>
    </row>
    <row r="54" spans="1:6" x14ac:dyDescent="0.3">
      <c r="A54">
        <v>1009372</v>
      </c>
      <c r="B54" t="s">
        <v>59</v>
      </c>
      <c r="C54" t="s">
        <v>7</v>
      </c>
      <c r="D54" t="s">
        <v>1037</v>
      </c>
      <c r="E54">
        <v>30000000</v>
      </c>
      <c r="F54">
        <f>Perfiles_jugador[[#This Row],[market_value]]/1000000</f>
        <v>30</v>
      </c>
    </row>
    <row r="55" spans="1:6" x14ac:dyDescent="0.3">
      <c r="A55">
        <v>593526</v>
      </c>
      <c r="B55" t="s">
        <v>60</v>
      </c>
      <c r="C55" t="s">
        <v>7</v>
      </c>
      <c r="D55" t="s">
        <v>1037</v>
      </c>
      <c r="E55">
        <v>6600000</v>
      </c>
      <c r="F55">
        <f>Perfiles_jugador[[#This Row],[market_value]]/1000000</f>
        <v>6.6</v>
      </c>
    </row>
    <row r="56" spans="1:6" x14ac:dyDescent="0.3">
      <c r="A56">
        <v>146866</v>
      </c>
      <c r="B56" t="s">
        <v>61</v>
      </c>
      <c r="C56" t="s">
        <v>7</v>
      </c>
      <c r="D56" t="s">
        <v>1037</v>
      </c>
      <c r="E56">
        <v>2700000</v>
      </c>
      <c r="F56">
        <f>Perfiles_jugador[[#This Row],[market_value]]/1000000</f>
        <v>2.7</v>
      </c>
    </row>
    <row r="57" spans="1:6" x14ac:dyDescent="0.3">
      <c r="A57">
        <v>345195</v>
      </c>
      <c r="B57" t="s">
        <v>62</v>
      </c>
      <c r="C57" t="s">
        <v>7</v>
      </c>
      <c r="D57" t="s">
        <v>1037</v>
      </c>
      <c r="E57">
        <v>6400000</v>
      </c>
      <c r="F57">
        <f>Perfiles_jugador[[#This Row],[market_value]]/1000000</f>
        <v>6.4</v>
      </c>
    </row>
    <row r="58" spans="1:6" x14ac:dyDescent="0.3">
      <c r="A58">
        <v>1172477</v>
      </c>
      <c r="B58" t="s">
        <v>63</v>
      </c>
      <c r="C58" t="s">
        <v>7</v>
      </c>
      <c r="D58" t="s">
        <v>1037</v>
      </c>
      <c r="E58">
        <v>8600000</v>
      </c>
      <c r="F58">
        <f>Perfiles_jugador[[#This Row],[market_value]]/1000000</f>
        <v>8.6</v>
      </c>
    </row>
    <row r="59" spans="1:6" x14ac:dyDescent="0.3">
      <c r="A59">
        <v>1468090</v>
      </c>
      <c r="B59" t="s">
        <v>64</v>
      </c>
      <c r="C59" t="s">
        <v>7</v>
      </c>
      <c r="D59" t="s">
        <v>1037</v>
      </c>
      <c r="E59">
        <v>3300000</v>
      </c>
      <c r="F59">
        <f>Perfiles_jugador[[#This Row],[market_value]]/1000000</f>
        <v>3.3</v>
      </c>
    </row>
    <row r="60" spans="1:6" x14ac:dyDescent="0.3">
      <c r="A60">
        <v>1863206</v>
      </c>
      <c r="B60" t="s">
        <v>65</v>
      </c>
      <c r="C60" t="s">
        <v>7</v>
      </c>
      <c r="D60" t="s">
        <v>1037</v>
      </c>
      <c r="E60">
        <v>775000</v>
      </c>
      <c r="F60">
        <f>Perfiles_jugador[[#This Row],[market_value]]/1000000</f>
        <v>0.77500000000000002</v>
      </c>
    </row>
    <row r="61" spans="1:6" x14ac:dyDescent="0.3">
      <c r="A61">
        <v>316148</v>
      </c>
      <c r="B61" t="s">
        <v>66</v>
      </c>
      <c r="C61" t="s">
        <v>7</v>
      </c>
      <c r="D61" t="s">
        <v>1038</v>
      </c>
      <c r="E61">
        <v>4800000</v>
      </c>
      <c r="F61">
        <f>Perfiles_jugador[[#This Row],[market_value]]/1000000</f>
        <v>4.8</v>
      </c>
    </row>
    <row r="62" spans="1:6" x14ac:dyDescent="0.3">
      <c r="A62">
        <v>879694</v>
      </c>
      <c r="B62" t="s">
        <v>67</v>
      </c>
      <c r="C62" t="s">
        <v>7</v>
      </c>
      <c r="D62" t="s">
        <v>1038</v>
      </c>
      <c r="E62">
        <v>19400000</v>
      </c>
      <c r="F62">
        <f>Perfiles_jugador[[#This Row],[market_value]]/1000000</f>
        <v>19.399999999999999</v>
      </c>
    </row>
    <row r="63" spans="1:6" x14ac:dyDescent="0.3">
      <c r="A63">
        <v>973290</v>
      </c>
      <c r="B63" t="s">
        <v>68</v>
      </c>
      <c r="C63" t="s">
        <v>7</v>
      </c>
      <c r="D63" t="s">
        <v>1038</v>
      </c>
      <c r="E63">
        <v>10800000</v>
      </c>
      <c r="F63">
        <f>Perfiles_jugador[[#This Row],[market_value]]/1000000</f>
        <v>10.8</v>
      </c>
    </row>
    <row r="64" spans="1:6" x14ac:dyDescent="0.3">
      <c r="A64">
        <v>1012444</v>
      </c>
      <c r="B64" t="s">
        <v>69</v>
      </c>
      <c r="C64" t="s">
        <v>7</v>
      </c>
      <c r="D64" t="s">
        <v>1038</v>
      </c>
      <c r="E64">
        <v>33000000</v>
      </c>
      <c r="F64">
        <f>Perfiles_jugador[[#This Row],[market_value]]/1000000</f>
        <v>33</v>
      </c>
    </row>
    <row r="65" spans="1:6" x14ac:dyDescent="0.3">
      <c r="A65">
        <v>39182</v>
      </c>
      <c r="B65" t="s">
        <v>70</v>
      </c>
      <c r="C65" t="s">
        <v>7</v>
      </c>
      <c r="D65" t="s">
        <v>1038</v>
      </c>
      <c r="E65">
        <v>1200000</v>
      </c>
      <c r="F65">
        <f>Perfiles_jugador[[#This Row],[market_value]]/1000000</f>
        <v>1.2</v>
      </c>
    </row>
    <row r="66" spans="1:6" x14ac:dyDescent="0.3">
      <c r="A66">
        <v>843678</v>
      </c>
      <c r="B66" t="s">
        <v>71</v>
      </c>
      <c r="C66" t="s">
        <v>7</v>
      </c>
      <c r="D66" t="s">
        <v>1038</v>
      </c>
      <c r="E66">
        <v>8400000</v>
      </c>
      <c r="F66">
        <f>Perfiles_jugador[[#This Row],[market_value]]/1000000</f>
        <v>8.4</v>
      </c>
    </row>
    <row r="67" spans="1:6" x14ac:dyDescent="0.3">
      <c r="A67">
        <v>1087359</v>
      </c>
      <c r="B67" t="s">
        <v>72</v>
      </c>
      <c r="C67" t="s">
        <v>7</v>
      </c>
      <c r="D67" t="s">
        <v>1039</v>
      </c>
      <c r="E67">
        <v>24000000</v>
      </c>
      <c r="F67">
        <f>Perfiles_jugador[[#This Row],[market_value]]/1000000</f>
        <v>24</v>
      </c>
    </row>
    <row r="68" spans="1:6" x14ac:dyDescent="0.3">
      <c r="A68">
        <v>873189</v>
      </c>
      <c r="B68" t="s">
        <v>73</v>
      </c>
      <c r="C68" t="s">
        <v>7</v>
      </c>
      <c r="D68" t="s">
        <v>1039</v>
      </c>
      <c r="E68">
        <v>16100000</v>
      </c>
      <c r="F68">
        <f>Perfiles_jugador[[#This Row],[market_value]]/1000000</f>
        <v>16.100000000000001</v>
      </c>
    </row>
    <row r="69" spans="1:6" x14ac:dyDescent="0.3">
      <c r="A69">
        <v>1468046</v>
      </c>
      <c r="B69" t="s">
        <v>74</v>
      </c>
      <c r="C69" t="s">
        <v>7</v>
      </c>
      <c r="D69" t="s">
        <v>1039</v>
      </c>
      <c r="E69">
        <v>9700000</v>
      </c>
      <c r="F69">
        <f>Perfiles_jugador[[#This Row],[market_value]]/1000000</f>
        <v>9.6999999999999993</v>
      </c>
    </row>
    <row r="70" spans="1:6" x14ac:dyDescent="0.3">
      <c r="A70">
        <v>984623</v>
      </c>
      <c r="B70" t="s">
        <v>75</v>
      </c>
      <c r="C70" t="s">
        <v>7</v>
      </c>
      <c r="D70" t="s">
        <v>1039</v>
      </c>
      <c r="E70">
        <v>11600000</v>
      </c>
      <c r="F70">
        <f>Perfiles_jugador[[#This Row],[market_value]]/1000000</f>
        <v>11.6</v>
      </c>
    </row>
    <row r="71" spans="1:6" x14ac:dyDescent="0.3">
      <c r="A71">
        <v>1136721</v>
      </c>
      <c r="B71" t="s">
        <v>76</v>
      </c>
      <c r="C71" t="s">
        <v>7</v>
      </c>
      <c r="D71" t="s">
        <v>1039</v>
      </c>
      <c r="E71">
        <v>4099999</v>
      </c>
      <c r="F71">
        <f>Perfiles_jugador[[#This Row],[market_value]]/1000000</f>
        <v>4.0999990000000004</v>
      </c>
    </row>
    <row r="72" spans="1:6" x14ac:dyDescent="0.3">
      <c r="A72">
        <v>986245</v>
      </c>
      <c r="B72" t="s">
        <v>77</v>
      </c>
      <c r="C72" t="s">
        <v>7</v>
      </c>
      <c r="D72" t="s">
        <v>1039</v>
      </c>
      <c r="E72">
        <v>9500000</v>
      </c>
      <c r="F72">
        <f>Perfiles_jugador[[#This Row],[market_value]]/1000000</f>
        <v>9.5</v>
      </c>
    </row>
    <row r="73" spans="1:6" x14ac:dyDescent="0.3">
      <c r="A73">
        <v>1184541</v>
      </c>
      <c r="B73" t="s">
        <v>78</v>
      </c>
      <c r="C73" t="s">
        <v>7</v>
      </c>
      <c r="D73" t="s">
        <v>1039</v>
      </c>
      <c r="E73">
        <v>3200000</v>
      </c>
      <c r="F73">
        <f>Perfiles_jugador[[#This Row],[market_value]]/1000000</f>
        <v>3.2</v>
      </c>
    </row>
    <row r="74" spans="1:6" x14ac:dyDescent="0.3">
      <c r="A74">
        <v>911853</v>
      </c>
      <c r="B74" t="s">
        <v>79</v>
      </c>
      <c r="C74" t="s">
        <v>7</v>
      </c>
      <c r="D74" t="s">
        <v>1039</v>
      </c>
      <c r="E74">
        <v>17500000</v>
      </c>
      <c r="F74">
        <f>Perfiles_jugador[[#This Row],[market_value]]/1000000</f>
        <v>17.5</v>
      </c>
    </row>
    <row r="75" spans="1:6" x14ac:dyDescent="0.3">
      <c r="A75">
        <v>797290</v>
      </c>
      <c r="B75" t="s">
        <v>80</v>
      </c>
      <c r="C75" t="s">
        <v>7</v>
      </c>
      <c r="D75" t="s">
        <v>1039</v>
      </c>
      <c r="E75">
        <v>2400000</v>
      </c>
      <c r="F75">
        <f>Perfiles_jugador[[#This Row],[market_value]]/1000000</f>
        <v>2.4</v>
      </c>
    </row>
    <row r="76" spans="1:6" x14ac:dyDescent="0.3">
      <c r="A76">
        <v>1525863</v>
      </c>
      <c r="B76" t="s">
        <v>81</v>
      </c>
      <c r="C76" t="s">
        <v>7</v>
      </c>
      <c r="D76" t="s">
        <v>1039</v>
      </c>
      <c r="E76">
        <v>9700000</v>
      </c>
      <c r="F76">
        <f>Perfiles_jugador[[#This Row],[market_value]]/1000000</f>
        <v>9.6999999999999993</v>
      </c>
    </row>
    <row r="77" spans="1:6" x14ac:dyDescent="0.3">
      <c r="A77">
        <v>908714</v>
      </c>
      <c r="B77" t="s">
        <v>82</v>
      </c>
      <c r="C77" t="s">
        <v>7</v>
      </c>
      <c r="D77" t="s">
        <v>1040</v>
      </c>
      <c r="E77">
        <v>4400000</v>
      </c>
      <c r="F77">
        <f>Perfiles_jugador[[#This Row],[market_value]]/1000000</f>
        <v>4.4000000000000004</v>
      </c>
    </row>
    <row r="78" spans="1:6" x14ac:dyDescent="0.3">
      <c r="A78">
        <v>1066603</v>
      </c>
      <c r="B78" t="s">
        <v>83</v>
      </c>
      <c r="C78" t="s">
        <v>7</v>
      </c>
      <c r="D78" t="s">
        <v>1040</v>
      </c>
      <c r="E78">
        <v>12400000</v>
      </c>
      <c r="F78">
        <f>Perfiles_jugador[[#This Row],[market_value]]/1000000</f>
        <v>12.4</v>
      </c>
    </row>
    <row r="79" spans="1:6" x14ac:dyDescent="0.3">
      <c r="A79">
        <v>951008</v>
      </c>
      <c r="B79" t="s">
        <v>84</v>
      </c>
      <c r="C79" t="s">
        <v>7</v>
      </c>
      <c r="D79" t="s">
        <v>1040</v>
      </c>
      <c r="E79">
        <v>4300000</v>
      </c>
      <c r="F79">
        <f>Perfiles_jugador[[#This Row],[market_value]]/1000000</f>
        <v>4.3</v>
      </c>
    </row>
    <row r="80" spans="1:6" x14ac:dyDescent="0.3">
      <c r="A80">
        <v>944656</v>
      </c>
      <c r="B80" t="s">
        <v>85</v>
      </c>
      <c r="C80" t="s">
        <v>7</v>
      </c>
      <c r="D80" t="s">
        <v>1037</v>
      </c>
      <c r="E80">
        <v>97000000</v>
      </c>
      <c r="F80">
        <f>Perfiles_jugador[[#This Row],[market_value]]/1000000</f>
        <v>97</v>
      </c>
    </row>
    <row r="81" spans="1:6" x14ac:dyDescent="0.3">
      <c r="A81">
        <v>85859</v>
      </c>
      <c r="B81" t="s">
        <v>86</v>
      </c>
      <c r="C81" t="s">
        <v>7</v>
      </c>
      <c r="D81" t="s">
        <v>1037</v>
      </c>
      <c r="E81">
        <v>9500000</v>
      </c>
      <c r="F81">
        <f>Perfiles_jugador[[#This Row],[market_value]]/1000000</f>
        <v>9.5</v>
      </c>
    </row>
    <row r="82" spans="1:6" x14ac:dyDescent="0.3">
      <c r="A82">
        <v>824200</v>
      </c>
      <c r="B82" t="s">
        <v>87</v>
      </c>
      <c r="C82" t="s">
        <v>7</v>
      </c>
      <c r="D82" t="s">
        <v>1037</v>
      </c>
      <c r="E82">
        <v>38000000</v>
      </c>
      <c r="F82">
        <f>Perfiles_jugador[[#This Row],[market_value]]/1000000</f>
        <v>38</v>
      </c>
    </row>
    <row r="83" spans="1:6" x14ac:dyDescent="0.3">
      <c r="A83">
        <v>309078</v>
      </c>
      <c r="B83" t="s">
        <v>88</v>
      </c>
      <c r="C83" t="s">
        <v>7</v>
      </c>
      <c r="D83" t="s">
        <v>1037</v>
      </c>
      <c r="E83">
        <v>21000000</v>
      </c>
      <c r="F83">
        <f>Perfiles_jugador[[#This Row],[market_value]]/1000000</f>
        <v>21</v>
      </c>
    </row>
    <row r="84" spans="1:6" x14ac:dyDescent="0.3">
      <c r="A84">
        <v>944660</v>
      </c>
      <c r="B84" t="s">
        <v>89</v>
      </c>
      <c r="C84" t="s">
        <v>7</v>
      </c>
      <c r="D84" t="s">
        <v>1038</v>
      </c>
      <c r="E84">
        <v>21000000</v>
      </c>
      <c r="F84">
        <f>Perfiles_jugador[[#This Row],[market_value]]/1000000</f>
        <v>21</v>
      </c>
    </row>
    <row r="85" spans="1:6" x14ac:dyDescent="0.3">
      <c r="A85">
        <v>901325</v>
      </c>
      <c r="B85" t="s">
        <v>90</v>
      </c>
      <c r="C85" t="s">
        <v>7</v>
      </c>
      <c r="D85" t="s">
        <v>1038</v>
      </c>
      <c r="E85">
        <v>25000000</v>
      </c>
      <c r="F85">
        <f>Perfiles_jugador[[#This Row],[market_value]]/1000000</f>
        <v>25</v>
      </c>
    </row>
    <row r="86" spans="1:6" x14ac:dyDescent="0.3">
      <c r="A86">
        <v>1099352</v>
      </c>
      <c r="B86" t="s">
        <v>91</v>
      </c>
      <c r="C86" t="s">
        <v>7</v>
      </c>
      <c r="D86" t="s">
        <v>1038</v>
      </c>
      <c r="E86">
        <v>44000000</v>
      </c>
      <c r="F86">
        <f>Perfiles_jugador[[#This Row],[market_value]]/1000000</f>
        <v>44</v>
      </c>
    </row>
    <row r="87" spans="1:6" x14ac:dyDescent="0.3">
      <c r="A87">
        <v>910031</v>
      </c>
      <c r="B87" t="s">
        <v>92</v>
      </c>
      <c r="C87" t="s">
        <v>7</v>
      </c>
      <c r="D87" t="s">
        <v>1038</v>
      </c>
      <c r="E87">
        <v>59000000</v>
      </c>
      <c r="F87">
        <f>Perfiles_jugador[[#This Row],[market_value]]/1000000</f>
        <v>59</v>
      </c>
    </row>
    <row r="88" spans="1:6" x14ac:dyDescent="0.3">
      <c r="A88">
        <v>990169</v>
      </c>
      <c r="B88" t="s">
        <v>93</v>
      </c>
      <c r="C88" t="s">
        <v>7</v>
      </c>
      <c r="D88" t="s">
        <v>1038</v>
      </c>
      <c r="E88">
        <v>21000000</v>
      </c>
      <c r="F88">
        <f>Perfiles_jugador[[#This Row],[market_value]]/1000000</f>
        <v>21</v>
      </c>
    </row>
    <row r="89" spans="1:6" x14ac:dyDescent="0.3">
      <c r="A89">
        <v>1142588</v>
      </c>
      <c r="B89" t="s">
        <v>94</v>
      </c>
      <c r="C89" t="s">
        <v>7</v>
      </c>
      <c r="D89" t="s">
        <v>1038</v>
      </c>
      <c r="E89">
        <v>66000000</v>
      </c>
      <c r="F89">
        <f>Perfiles_jugador[[#This Row],[market_value]]/1000000</f>
        <v>66</v>
      </c>
    </row>
    <row r="90" spans="1:6" x14ac:dyDescent="0.3">
      <c r="A90">
        <v>84539</v>
      </c>
      <c r="B90" t="s">
        <v>95</v>
      </c>
      <c r="C90" t="s">
        <v>7</v>
      </c>
      <c r="D90" t="s">
        <v>1038</v>
      </c>
      <c r="E90">
        <v>6400000</v>
      </c>
      <c r="F90">
        <f>Perfiles_jugador[[#This Row],[market_value]]/1000000</f>
        <v>6.4</v>
      </c>
    </row>
    <row r="91" spans="1:6" x14ac:dyDescent="0.3">
      <c r="A91">
        <v>1119345</v>
      </c>
      <c r="B91" t="s">
        <v>96</v>
      </c>
      <c r="C91" t="s">
        <v>7</v>
      </c>
      <c r="D91" t="s">
        <v>1038</v>
      </c>
      <c r="E91">
        <v>7400000</v>
      </c>
      <c r="F91">
        <f>Perfiles_jugador[[#This Row],[market_value]]/1000000</f>
        <v>7.4</v>
      </c>
    </row>
    <row r="92" spans="1:6" x14ac:dyDescent="0.3">
      <c r="A92">
        <v>1391752</v>
      </c>
      <c r="B92" t="s">
        <v>97</v>
      </c>
      <c r="C92" t="s">
        <v>7</v>
      </c>
      <c r="D92" t="s">
        <v>1038</v>
      </c>
      <c r="E92">
        <v>21000000</v>
      </c>
      <c r="F92">
        <f>Perfiles_jugador[[#This Row],[market_value]]/1000000</f>
        <v>21</v>
      </c>
    </row>
    <row r="93" spans="1:6" x14ac:dyDescent="0.3">
      <c r="A93">
        <v>831799</v>
      </c>
      <c r="B93" t="s">
        <v>98</v>
      </c>
      <c r="C93" t="s">
        <v>7</v>
      </c>
      <c r="D93" t="s">
        <v>1039</v>
      </c>
      <c r="E93">
        <v>14600000</v>
      </c>
      <c r="F93">
        <f>Perfiles_jugador[[#This Row],[market_value]]/1000000</f>
        <v>14.6</v>
      </c>
    </row>
    <row r="94" spans="1:6" x14ac:dyDescent="0.3">
      <c r="A94">
        <v>353138</v>
      </c>
      <c r="B94" t="s">
        <v>99</v>
      </c>
      <c r="C94" t="s">
        <v>7</v>
      </c>
      <c r="D94" t="s">
        <v>1039</v>
      </c>
      <c r="E94">
        <v>23000000</v>
      </c>
      <c r="F94">
        <f>Perfiles_jugador[[#This Row],[market_value]]/1000000</f>
        <v>23</v>
      </c>
    </row>
    <row r="95" spans="1:6" x14ac:dyDescent="0.3">
      <c r="A95">
        <v>580550</v>
      </c>
      <c r="B95" t="s">
        <v>100</v>
      </c>
      <c r="C95" t="s">
        <v>7</v>
      </c>
      <c r="D95" t="s">
        <v>1039</v>
      </c>
      <c r="E95">
        <v>6200000</v>
      </c>
      <c r="F95">
        <f>Perfiles_jugador[[#This Row],[market_value]]/1000000</f>
        <v>6.2</v>
      </c>
    </row>
    <row r="96" spans="1:6" x14ac:dyDescent="0.3">
      <c r="A96">
        <v>787751</v>
      </c>
      <c r="B96" t="s">
        <v>101</v>
      </c>
      <c r="C96" t="s">
        <v>7</v>
      </c>
      <c r="D96" t="s">
        <v>1039</v>
      </c>
      <c r="E96">
        <v>29000000</v>
      </c>
      <c r="F96">
        <f>Perfiles_jugador[[#This Row],[market_value]]/1000000</f>
        <v>29</v>
      </c>
    </row>
    <row r="97" spans="1:6" x14ac:dyDescent="0.3">
      <c r="A97">
        <v>325355</v>
      </c>
      <c r="B97" t="s">
        <v>102</v>
      </c>
      <c r="C97" t="s">
        <v>7</v>
      </c>
      <c r="D97" t="s">
        <v>1039</v>
      </c>
      <c r="E97">
        <v>13400000</v>
      </c>
      <c r="F97">
        <f>Perfiles_jugador[[#This Row],[market_value]]/1000000</f>
        <v>13.4</v>
      </c>
    </row>
    <row r="98" spans="1:6" x14ac:dyDescent="0.3">
      <c r="A98">
        <v>807771</v>
      </c>
      <c r="B98" t="s">
        <v>103</v>
      </c>
      <c r="C98" t="s">
        <v>7</v>
      </c>
      <c r="D98" t="s">
        <v>1039</v>
      </c>
      <c r="E98">
        <v>31000000</v>
      </c>
      <c r="F98">
        <f>Perfiles_jugador[[#This Row],[market_value]]/1000000</f>
        <v>31</v>
      </c>
    </row>
    <row r="99" spans="1:6" x14ac:dyDescent="0.3">
      <c r="A99">
        <v>1094106</v>
      </c>
      <c r="B99" t="s">
        <v>104</v>
      </c>
      <c r="C99" t="s">
        <v>7</v>
      </c>
      <c r="D99" t="s">
        <v>1039</v>
      </c>
      <c r="E99">
        <v>27000000</v>
      </c>
      <c r="F99">
        <f>Perfiles_jugador[[#This Row],[market_value]]/1000000</f>
        <v>27</v>
      </c>
    </row>
    <row r="100" spans="1:6" x14ac:dyDescent="0.3">
      <c r="A100">
        <v>965011</v>
      </c>
      <c r="B100" t="s">
        <v>105</v>
      </c>
      <c r="C100" t="s">
        <v>7</v>
      </c>
      <c r="D100" t="s">
        <v>1039</v>
      </c>
      <c r="E100">
        <v>14600000</v>
      </c>
      <c r="F100">
        <f>Perfiles_jugador[[#This Row],[market_value]]/1000000</f>
        <v>14.6</v>
      </c>
    </row>
    <row r="101" spans="1:6" x14ac:dyDescent="0.3">
      <c r="A101">
        <v>1402990</v>
      </c>
      <c r="B101" t="s">
        <v>106</v>
      </c>
      <c r="C101" t="s">
        <v>7</v>
      </c>
      <c r="D101" t="s">
        <v>1039</v>
      </c>
      <c r="E101">
        <v>540000</v>
      </c>
      <c r="F101">
        <f>Perfiles_jugador[[#This Row],[market_value]]/1000000</f>
        <v>0.54</v>
      </c>
    </row>
    <row r="102" spans="1:6" x14ac:dyDescent="0.3">
      <c r="A102">
        <v>69768</v>
      </c>
      <c r="B102" t="s">
        <v>107</v>
      </c>
      <c r="C102" t="s">
        <v>7</v>
      </c>
      <c r="D102" t="s">
        <v>1040</v>
      </c>
      <c r="E102">
        <v>18100000</v>
      </c>
      <c r="F102">
        <f>Perfiles_jugador[[#This Row],[market_value]]/1000000</f>
        <v>18.100000000000001</v>
      </c>
    </row>
    <row r="103" spans="1:6" x14ac:dyDescent="0.3">
      <c r="A103">
        <v>263651</v>
      </c>
      <c r="B103" t="s">
        <v>108</v>
      </c>
      <c r="C103" t="s">
        <v>7</v>
      </c>
      <c r="D103" t="s">
        <v>1040</v>
      </c>
      <c r="E103">
        <v>3200000</v>
      </c>
      <c r="F103">
        <f>Perfiles_jugador[[#This Row],[market_value]]/1000000</f>
        <v>3.2</v>
      </c>
    </row>
    <row r="104" spans="1:6" x14ac:dyDescent="0.3">
      <c r="A104">
        <v>1034421</v>
      </c>
      <c r="B104" t="s">
        <v>109</v>
      </c>
      <c r="C104" t="s">
        <v>7</v>
      </c>
      <c r="D104" t="s">
        <v>1040</v>
      </c>
      <c r="E104">
        <v>415000</v>
      </c>
      <c r="F104">
        <f>Perfiles_jugador[[#This Row],[market_value]]/1000000</f>
        <v>0.41499999999999998</v>
      </c>
    </row>
    <row r="105" spans="1:6" x14ac:dyDescent="0.3">
      <c r="A105">
        <v>1179149</v>
      </c>
      <c r="B105" t="s">
        <v>110</v>
      </c>
      <c r="C105" t="s">
        <v>7</v>
      </c>
      <c r="D105" t="s">
        <v>1040</v>
      </c>
      <c r="E105">
        <v>290000</v>
      </c>
      <c r="F105">
        <f>Perfiles_jugador[[#This Row],[market_value]]/1000000</f>
        <v>0.28999999999999998</v>
      </c>
    </row>
    <row r="106" spans="1:6" x14ac:dyDescent="0.3">
      <c r="A106">
        <v>115665</v>
      </c>
      <c r="B106" t="s">
        <v>111</v>
      </c>
      <c r="C106" t="s">
        <v>7</v>
      </c>
      <c r="D106" t="s">
        <v>1037</v>
      </c>
      <c r="E106">
        <v>1400000</v>
      </c>
      <c r="F106">
        <f>Perfiles_jugador[[#This Row],[market_value]]/1000000</f>
        <v>1.4</v>
      </c>
    </row>
    <row r="107" spans="1:6" x14ac:dyDescent="0.3">
      <c r="A107">
        <v>887055</v>
      </c>
      <c r="B107" t="s">
        <v>112</v>
      </c>
      <c r="C107" t="s">
        <v>7</v>
      </c>
      <c r="D107" t="s">
        <v>1037</v>
      </c>
      <c r="E107">
        <v>16500000</v>
      </c>
      <c r="F107">
        <f>Perfiles_jugador[[#This Row],[market_value]]/1000000</f>
        <v>16.5</v>
      </c>
    </row>
    <row r="108" spans="1:6" x14ac:dyDescent="0.3">
      <c r="A108">
        <v>789381</v>
      </c>
      <c r="B108" t="s">
        <v>113</v>
      </c>
      <c r="C108" t="s">
        <v>7</v>
      </c>
      <c r="D108" t="s">
        <v>1037</v>
      </c>
      <c r="E108">
        <v>1500000</v>
      </c>
      <c r="F108">
        <f>Perfiles_jugador[[#This Row],[market_value]]/1000000</f>
        <v>1.5</v>
      </c>
    </row>
    <row r="109" spans="1:6" x14ac:dyDescent="0.3">
      <c r="A109">
        <v>958380</v>
      </c>
      <c r="B109" t="s">
        <v>114</v>
      </c>
      <c r="C109" t="s">
        <v>7</v>
      </c>
      <c r="D109" t="s">
        <v>1038</v>
      </c>
      <c r="E109">
        <v>27000000</v>
      </c>
      <c r="F109">
        <f>Perfiles_jugador[[#This Row],[market_value]]/1000000</f>
        <v>27</v>
      </c>
    </row>
    <row r="110" spans="1:6" x14ac:dyDescent="0.3">
      <c r="A110">
        <v>1011375</v>
      </c>
      <c r="B110" t="s">
        <v>115</v>
      </c>
      <c r="C110" t="s">
        <v>7</v>
      </c>
      <c r="D110" t="s">
        <v>1038</v>
      </c>
      <c r="E110">
        <v>21000000</v>
      </c>
      <c r="F110">
        <f>Perfiles_jugador[[#This Row],[market_value]]/1000000</f>
        <v>21</v>
      </c>
    </row>
    <row r="111" spans="1:6" x14ac:dyDescent="0.3">
      <c r="A111">
        <v>359272</v>
      </c>
      <c r="B111" t="s">
        <v>116</v>
      </c>
      <c r="C111" t="s">
        <v>7</v>
      </c>
      <c r="D111" t="s">
        <v>1038</v>
      </c>
      <c r="E111">
        <v>11600000</v>
      </c>
      <c r="F111">
        <f>Perfiles_jugador[[#This Row],[market_value]]/1000000</f>
        <v>11.6</v>
      </c>
    </row>
    <row r="112" spans="1:6" x14ac:dyDescent="0.3">
      <c r="A112">
        <v>103417</v>
      </c>
      <c r="B112" t="s">
        <v>117</v>
      </c>
      <c r="C112" t="s">
        <v>7</v>
      </c>
      <c r="D112" t="s">
        <v>1038</v>
      </c>
      <c r="E112">
        <v>4099999</v>
      </c>
      <c r="F112">
        <f>Perfiles_jugador[[#This Row],[market_value]]/1000000</f>
        <v>4.0999990000000004</v>
      </c>
    </row>
    <row r="113" spans="1:6" x14ac:dyDescent="0.3">
      <c r="A113">
        <v>798835</v>
      </c>
      <c r="B113" t="s">
        <v>118</v>
      </c>
      <c r="C113" t="s">
        <v>7</v>
      </c>
      <c r="D113" t="s">
        <v>1038</v>
      </c>
      <c r="E113">
        <v>14600000</v>
      </c>
      <c r="F113">
        <f>Perfiles_jugador[[#This Row],[market_value]]/1000000</f>
        <v>14.6</v>
      </c>
    </row>
    <row r="114" spans="1:6" x14ac:dyDescent="0.3">
      <c r="A114">
        <v>1129401</v>
      </c>
      <c r="B114" t="s">
        <v>119</v>
      </c>
      <c r="C114" t="s">
        <v>7</v>
      </c>
      <c r="D114" t="s">
        <v>1038</v>
      </c>
      <c r="E114">
        <v>9800000</v>
      </c>
      <c r="F114">
        <f>Perfiles_jugador[[#This Row],[market_value]]/1000000</f>
        <v>9.8000000000000007</v>
      </c>
    </row>
    <row r="115" spans="1:6" x14ac:dyDescent="0.3">
      <c r="A115">
        <v>989113</v>
      </c>
      <c r="B115" t="s">
        <v>120</v>
      </c>
      <c r="C115" t="s">
        <v>7</v>
      </c>
      <c r="D115" t="s">
        <v>1038</v>
      </c>
      <c r="E115">
        <v>8600000</v>
      </c>
      <c r="F115">
        <f>Perfiles_jugador[[#This Row],[market_value]]/1000000</f>
        <v>8.6</v>
      </c>
    </row>
    <row r="116" spans="1:6" x14ac:dyDescent="0.3">
      <c r="A116">
        <v>838629</v>
      </c>
      <c r="B116" t="s">
        <v>121</v>
      </c>
      <c r="C116" t="s">
        <v>7</v>
      </c>
      <c r="D116" t="s">
        <v>1038</v>
      </c>
      <c r="E116">
        <v>9300000</v>
      </c>
      <c r="F116">
        <f>Perfiles_jugador[[#This Row],[market_value]]/1000000</f>
        <v>9.3000000000000007</v>
      </c>
    </row>
    <row r="117" spans="1:6" x14ac:dyDescent="0.3">
      <c r="A117">
        <v>816763</v>
      </c>
      <c r="B117" t="s">
        <v>122</v>
      </c>
      <c r="C117" t="s">
        <v>7</v>
      </c>
      <c r="D117" t="s">
        <v>1038</v>
      </c>
      <c r="E117">
        <v>8400000</v>
      </c>
      <c r="F117">
        <f>Perfiles_jugador[[#This Row],[market_value]]/1000000</f>
        <v>8.4</v>
      </c>
    </row>
    <row r="118" spans="1:6" x14ac:dyDescent="0.3">
      <c r="A118">
        <v>1893910</v>
      </c>
      <c r="B118" t="s">
        <v>123</v>
      </c>
      <c r="C118" t="s">
        <v>7</v>
      </c>
      <c r="D118" t="s">
        <v>1038</v>
      </c>
      <c r="E118">
        <v>8199999</v>
      </c>
      <c r="F118">
        <f>Perfiles_jugador[[#This Row],[market_value]]/1000000</f>
        <v>8.199999</v>
      </c>
    </row>
    <row r="119" spans="1:6" x14ac:dyDescent="0.3">
      <c r="A119">
        <v>847128</v>
      </c>
      <c r="B119" t="s">
        <v>124</v>
      </c>
      <c r="C119" t="s">
        <v>7</v>
      </c>
      <c r="D119" t="s">
        <v>1038</v>
      </c>
      <c r="E119">
        <v>4200000</v>
      </c>
      <c r="F119">
        <f>Perfiles_jugador[[#This Row],[market_value]]/1000000</f>
        <v>4.2</v>
      </c>
    </row>
    <row r="120" spans="1:6" x14ac:dyDescent="0.3">
      <c r="A120">
        <v>1137814</v>
      </c>
      <c r="B120" t="s">
        <v>125</v>
      </c>
      <c r="C120" t="s">
        <v>7</v>
      </c>
      <c r="D120" t="s">
        <v>1038</v>
      </c>
      <c r="E120">
        <v>19300000</v>
      </c>
      <c r="F120">
        <f>Perfiles_jugador[[#This Row],[market_value]]/1000000</f>
        <v>19.3</v>
      </c>
    </row>
    <row r="121" spans="1:6" x14ac:dyDescent="0.3">
      <c r="A121">
        <v>188365</v>
      </c>
      <c r="B121" t="s">
        <v>126</v>
      </c>
      <c r="C121" t="s">
        <v>7</v>
      </c>
      <c r="D121" t="s">
        <v>1039</v>
      </c>
      <c r="E121">
        <v>2600000</v>
      </c>
      <c r="F121">
        <f>Perfiles_jugador[[#This Row],[market_value]]/1000000</f>
        <v>2.6</v>
      </c>
    </row>
    <row r="122" spans="1:6" x14ac:dyDescent="0.3">
      <c r="A122">
        <v>1015287</v>
      </c>
      <c r="B122" t="s">
        <v>127</v>
      </c>
      <c r="C122" t="s">
        <v>7</v>
      </c>
      <c r="D122" t="s">
        <v>1039</v>
      </c>
      <c r="E122">
        <v>21000000</v>
      </c>
      <c r="F122">
        <f>Perfiles_jugador[[#This Row],[market_value]]/1000000</f>
        <v>21</v>
      </c>
    </row>
    <row r="123" spans="1:6" x14ac:dyDescent="0.3">
      <c r="A123">
        <v>914835</v>
      </c>
      <c r="B123" t="s">
        <v>128</v>
      </c>
      <c r="C123" t="s">
        <v>7</v>
      </c>
      <c r="D123" t="s">
        <v>1039</v>
      </c>
      <c r="E123">
        <v>5800000</v>
      </c>
      <c r="F123">
        <f>Perfiles_jugador[[#This Row],[market_value]]/1000000</f>
        <v>5.8</v>
      </c>
    </row>
    <row r="124" spans="1:6" x14ac:dyDescent="0.3">
      <c r="A124">
        <v>1186010</v>
      </c>
      <c r="B124" t="s">
        <v>129</v>
      </c>
      <c r="C124" t="s">
        <v>7</v>
      </c>
      <c r="D124" t="s">
        <v>1039</v>
      </c>
      <c r="E124">
        <v>11200000</v>
      </c>
      <c r="F124">
        <f>Perfiles_jugador[[#This Row],[market_value]]/1000000</f>
        <v>11.2</v>
      </c>
    </row>
    <row r="125" spans="1:6" x14ac:dyDescent="0.3">
      <c r="A125">
        <v>99519</v>
      </c>
      <c r="B125" t="s">
        <v>130</v>
      </c>
      <c r="C125" t="s">
        <v>7</v>
      </c>
      <c r="D125" t="s">
        <v>1039</v>
      </c>
      <c r="E125">
        <v>1000000</v>
      </c>
      <c r="F125">
        <f>Perfiles_jugador[[#This Row],[market_value]]/1000000</f>
        <v>1</v>
      </c>
    </row>
    <row r="126" spans="1:6" x14ac:dyDescent="0.3">
      <c r="A126">
        <v>67769</v>
      </c>
      <c r="B126" t="s">
        <v>131</v>
      </c>
      <c r="C126" t="s">
        <v>7</v>
      </c>
      <c r="D126" t="s">
        <v>1039</v>
      </c>
      <c r="E126">
        <v>1600000</v>
      </c>
      <c r="F126">
        <f>Perfiles_jugador[[#This Row],[market_value]]/1000000</f>
        <v>1.6</v>
      </c>
    </row>
    <row r="127" spans="1:6" x14ac:dyDescent="0.3">
      <c r="A127">
        <v>305278</v>
      </c>
      <c r="B127" t="s">
        <v>132</v>
      </c>
      <c r="C127" t="s">
        <v>7</v>
      </c>
      <c r="D127" t="s">
        <v>1039</v>
      </c>
      <c r="E127">
        <v>3100000</v>
      </c>
      <c r="F127">
        <f>Perfiles_jugador[[#This Row],[market_value]]/1000000</f>
        <v>3.1</v>
      </c>
    </row>
    <row r="128" spans="1:6" x14ac:dyDescent="0.3">
      <c r="A128">
        <v>893062</v>
      </c>
      <c r="B128" t="s">
        <v>133</v>
      </c>
      <c r="C128" t="s">
        <v>7</v>
      </c>
      <c r="D128" t="s">
        <v>1039</v>
      </c>
      <c r="E128">
        <v>3400000</v>
      </c>
      <c r="F128">
        <f>Perfiles_jugador[[#This Row],[market_value]]/1000000</f>
        <v>3.4</v>
      </c>
    </row>
    <row r="129" spans="1:6" x14ac:dyDescent="0.3">
      <c r="A129">
        <v>1152139</v>
      </c>
      <c r="B129" t="s">
        <v>134</v>
      </c>
      <c r="C129" t="s">
        <v>7</v>
      </c>
      <c r="D129" t="s">
        <v>1039</v>
      </c>
      <c r="E129">
        <v>4400000</v>
      </c>
      <c r="F129">
        <f>Perfiles_jugador[[#This Row],[market_value]]/1000000</f>
        <v>4.4000000000000004</v>
      </c>
    </row>
    <row r="130" spans="1:6" x14ac:dyDescent="0.3">
      <c r="A130">
        <v>50539</v>
      </c>
      <c r="B130" t="s">
        <v>135</v>
      </c>
      <c r="C130" t="s">
        <v>7</v>
      </c>
      <c r="D130" t="s">
        <v>1040</v>
      </c>
      <c r="E130">
        <v>415000</v>
      </c>
      <c r="F130">
        <f>Perfiles_jugador[[#This Row],[market_value]]/1000000</f>
        <v>0.41499999999999998</v>
      </c>
    </row>
    <row r="131" spans="1:6" x14ac:dyDescent="0.3">
      <c r="A131">
        <v>548848</v>
      </c>
      <c r="B131" t="s">
        <v>136</v>
      </c>
      <c r="C131" t="s">
        <v>7</v>
      </c>
      <c r="D131" t="s">
        <v>1040</v>
      </c>
      <c r="E131">
        <v>2700000</v>
      </c>
      <c r="F131">
        <f>Perfiles_jugador[[#This Row],[market_value]]/1000000</f>
        <v>2.7</v>
      </c>
    </row>
    <row r="132" spans="1:6" x14ac:dyDescent="0.3">
      <c r="A132">
        <v>964983</v>
      </c>
      <c r="B132" t="s">
        <v>137</v>
      </c>
      <c r="C132" t="s">
        <v>7</v>
      </c>
      <c r="D132" t="s">
        <v>1040</v>
      </c>
      <c r="E132">
        <v>2300000</v>
      </c>
      <c r="F132">
        <f>Perfiles_jugador[[#This Row],[market_value]]/1000000</f>
        <v>2.2999999999999998</v>
      </c>
    </row>
    <row r="133" spans="1:6" x14ac:dyDescent="0.3">
      <c r="A133">
        <v>19356</v>
      </c>
      <c r="B133" t="s">
        <v>138</v>
      </c>
      <c r="C133" t="s">
        <v>7</v>
      </c>
      <c r="D133" t="s">
        <v>1037</v>
      </c>
      <c r="E133">
        <v>1700000</v>
      </c>
      <c r="F133">
        <f>Perfiles_jugador[[#This Row],[market_value]]/1000000</f>
        <v>1.7</v>
      </c>
    </row>
    <row r="134" spans="1:6" x14ac:dyDescent="0.3">
      <c r="A134">
        <v>785989</v>
      </c>
      <c r="B134" t="s">
        <v>139</v>
      </c>
      <c r="C134" t="s">
        <v>7</v>
      </c>
      <c r="D134" t="s">
        <v>1037</v>
      </c>
      <c r="E134">
        <v>3100000</v>
      </c>
      <c r="F134">
        <f>Perfiles_jugador[[#This Row],[market_value]]/1000000</f>
        <v>3.1</v>
      </c>
    </row>
    <row r="135" spans="1:6" x14ac:dyDescent="0.3">
      <c r="A135">
        <v>949962</v>
      </c>
      <c r="B135" t="s">
        <v>140</v>
      </c>
      <c r="C135" t="s">
        <v>7</v>
      </c>
      <c r="D135" t="s">
        <v>1037</v>
      </c>
      <c r="E135">
        <v>7500000</v>
      </c>
      <c r="F135">
        <f>Perfiles_jugador[[#This Row],[market_value]]/1000000</f>
        <v>7.5</v>
      </c>
    </row>
    <row r="136" spans="1:6" x14ac:dyDescent="0.3">
      <c r="A136">
        <v>1173575</v>
      </c>
      <c r="B136" t="s">
        <v>141</v>
      </c>
      <c r="C136" t="s">
        <v>7</v>
      </c>
      <c r="D136" t="s">
        <v>1037</v>
      </c>
      <c r="E136">
        <v>8400000</v>
      </c>
      <c r="F136">
        <f>Perfiles_jugador[[#This Row],[market_value]]/1000000</f>
        <v>8.4</v>
      </c>
    </row>
    <row r="137" spans="1:6" x14ac:dyDescent="0.3">
      <c r="A137">
        <v>1398524</v>
      </c>
      <c r="B137" t="s">
        <v>142</v>
      </c>
      <c r="C137" t="s">
        <v>7</v>
      </c>
      <c r="D137" t="s">
        <v>1037</v>
      </c>
      <c r="E137">
        <v>4099999</v>
      </c>
      <c r="F137">
        <f>Perfiles_jugador[[#This Row],[market_value]]/1000000</f>
        <v>4.0999990000000004</v>
      </c>
    </row>
    <row r="138" spans="1:6" x14ac:dyDescent="0.3">
      <c r="A138">
        <v>962890</v>
      </c>
      <c r="B138" t="s">
        <v>143</v>
      </c>
      <c r="C138" t="s">
        <v>7</v>
      </c>
      <c r="D138" t="s">
        <v>1038</v>
      </c>
      <c r="E138">
        <v>9200000</v>
      </c>
      <c r="F138">
        <f>Perfiles_jugador[[#This Row],[market_value]]/1000000</f>
        <v>9.1999999999999993</v>
      </c>
    </row>
    <row r="139" spans="1:6" x14ac:dyDescent="0.3">
      <c r="A139">
        <v>1126779</v>
      </c>
      <c r="B139" t="s">
        <v>144</v>
      </c>
      <c r="C139" t="s">
        <v>7</v>
      </c>
      <c r="D139" t="s">
        <v>1038</v>
      </c>
      <c r="E139">
        <v>14000000</v>
      </c>
      <c r="F139">
        <f>Perfiles_jugador[[#This Row],[market_value]]/1000000</f>
        <v>14</v>
      </c>
    </row>
    <row r="140" spans="1:6" x14ac:dyDescent="0.3">
      <c r="A140">
        <v>859773</v>
      </c>
      <c r="B140" t="s">
        <v>145</v>
      </c>
      <c r="C140" t="s">
        <v>7</v>
      </c>
      <c r="D140" t="s">
        <v>1038</v>
      </c>
      <c r="E140">
        <v>18700000</v>
      </c>
      <c r="F140">
        <f>Perfiles_jugador[[#This Row],[market_value]]/1000000</f>
        <v>18.7</v>
      </c>
    </row>
    <row r="141" spans="1:6" x14ac:dyDescent="0.3">
      <c r="A141">
        <v>158615</v>
      </c>
      <c r="B141" t="s">
        <v>146</v>
      </c>
      <c r="C141" t="s">
        <v>7</v>
      </c>
      <c r="D141" t="s">
        <v>1038</v>
      </c>
      <c r="E141">
        <v>1600000</v>
      </c>
      <c r="F141">
        <f>Perfiles_jugador[[#This Row],[market_value]]/1000000</f>
        <v>1.6</v>
      </c>
    </row>
    <row r="142" spans="1:6" x14ac:dyDescent="0.3">
      <c r="A142">
        <v>1526628</v>
      </c>
      <c r="B142" t="s">
        <v>147</v>
      </c>
      <c r="C142" t="s">
        <v>7</v>
      </c>
      <c r="D142" t="s">
        <v>1038</v>
      </c>
      <c r="E142">
        <v>17500000</v>
      </c>
      <c r="F142">
        <f>Perfiles_jugador[[#This Row],[market_value]]/1000000</f>
        <v>17.5</v>
      </c>
    </row>
    <row r="143" spans="1:6" x14ac:dyDescent="0.3">
      <c r="A143">
        <v>557008</v>
      </c>
      <c r="B143" t="s">
        <v>148</v>
      </c>
      <c r="C143" t="s">
        <v>7</v>
      </c>
      <c r="D143" t="s">
        <v>1038</v>
      </c>
      <c r="E143">
        <v>680000</v>
      </c>
      <c r="F143">
        <f>Perfiles_jugador[[#This Row],[market_value]]/1000000</f>
        <v>0.68</v>
      </c>
    </row>
    <row r="144" spans="1:6" x14ac:dyDescent="0.3">
      <c r="A144">
        <v>1154935</v>
      </c>
      <c r="B144" t="s">
        <v>149</v>
      </c>
      <c r="C144" t="s">
        <v>7</v>
      </c>
      <c r="D144" t="s">
        <v>1038</v>
      </c>
      <c r="E144">
        <v>7800000</v>
      </c>
      <c r="F144">
        <f>Perfiles_jugador[[#This Row],[market_value]]/1000000</f>
        <v>7.8</v>
      </c>
    </row>
    <row r="145" spans="1:6" x14ac:dyDescent="0.3">
      <c r="A145">
        <v>1120669</v>
      </c>
      <c r="B145" t="s">
        <v>150</v>
      </c>
      <c r="C145" t="s">
        <v>7</v>
      </c>
      <c r="D145" t="s">
        <v>1038</v>
      </c>
      <c r="E145">
        <v>7200000</v>
      </c>
      <c r="F145">
        <f>Perfiles_jugador[[#This Row],[market_value]]/1000000</f>
        <v>7.2</v>
      </c>
    </row>
    <row r="146" spans="1:6" x14ac:dyDescent="0.3">
      <c r="A146">
        <v>1002764</v>
      </c>
      <c r="B146" t="s">
        <v>151</v>
      </c>
      <c r="C146" t="s">
        <v>7</v>
      </c>
      <c r="D146" t="s">
        <v>1038</v>
      </c>
      <c r="E146">
        <v>5700000</v>
      </c>
      <c r="F146">
        <f>Perfiles_jugador[[#This Row],[market_value]]/1000000</f>
        <v>5.7</v>
      </c>
    </row>
    <row r="147" spans="1:6" x14ac:dyDescent="0.3">
      <c r="A147">
        <v>1398526</v>
      </c>
      <c r="B147" t="s">
        <v>152</v>
      </c>
      <c r="C147" t="s">
        <v>7</v>
      </c>
      <c r="D147" t="s">
        <v>1038</v>
      </c>
      <c r="E147">
        <v>14400000</v>
      </c>
      <c r="F147">
        <f>Perfiles_jugador[[#This Row],[market_value]]/1000000</f>
        <v>14.4</v>
      </c>
    </row>
    <row r="148" spans="1:6" x14ac:dyDescent="0.3">
      <c r="A148">
        <v>1916256</v>
      </c>
      <c r="B148" t="s">
        <v>153</v>
      </c>
      <c r="C148" t="s">
        <v>7</v>
      </c>
      <c r="D148" t="s">
        <v>1038</v>
      </c>
      <c r="E148">
        <v>320000</v>
      </c>
      <c r="F148">
        <f>Perfiles_jugador[[#This Row],[market_value]]/1000000</f>
        <v>0.32</v>
      </c>
    </row>
    <row r="149" spans="1:6" x14ac:dyDescent="0.3">
      <c r="A149">
        <v>69408</v>
      </c>
      <c r="B149" t="s">
        <v>154</v>
      </c>
      <c r="C149" t="s">
        <v>7</v>
      </c>
      <c r="D149" t="s">
        <v>1039</v>
      </c>
      <c r="E149">
        <v>1500000</v>
      </c>
      <c r="F149">
        <f>Perfiles_jugador[[#This Row],[market_value]]/1000000</f>
        <v>1.5</v>
      </c>
    </row>
    <row r="150" spans="1:6" x14ac:dyDescent="0.3">
      <c r="A150">
        <v>796320</v>
      </c>
      <c r="B150" t="s">
        <v>155</v>
      </c>
      <c r="C150" t="s">
        <v>7</v>
      </c>
      <c r="D150" t="s">
        <v>1039</v>
      </c>
      <c r="E150">
        <v>930000</v>
      </c>
      <c r="F150">
        <f>Perfiles_jugador[[#This Row],[market_value]]/1000000</f>
        <v>0.93</v>
      </c>
    </row>
    <row r="151" spans="1:6" x14ac:dyDescent="0.3">
      <c r="A151">
        <v>360718</v>
      </c>
      <c r="B151" t="s">
        <v>156</v>
      </c>
      <c r="C151" t="s">
        <v>7</v>
      </c>
      <c r="D151" t="s">
        <v>1039</v>
      </c>
      <c r="E151">
        <v>4500000</v>
      </c>
      <c r="F151">
        <f>Perfiles_jugador[[#This Row],[market_value]]/1000000</f>
        <v>4.5</v>
      </c>
    </row>
    <row r="152" spans="1:6" x14ac:dyDescent="0.3">
      <c r="A152">
        <v>1526627</v>
      </c>
      <c r="B152" t="s">
        <v>157</v>
      </c>
      <c r="C152" t="s">
        <v>7</v>
      </c>
      <c r="D152" t="s">
        <v>1039</v>
      </c>
      <c r="E152">
        <v>14600000</v>
      </c>
      <c r="F152">
        <f>Perfiles_jugador[[#This Row],[market_value]]/1000000</f>
        <v>14.6</v>
      </c>
    </row>
    <row r="153" spans="1:6" x14ac:dyDescent="0.3">
      <c r="A153">
        <v>363774</v>
      </c>
      <c r="B153" t="s">
        <v>158</v>
      </c>
      <c r="C153" t="s">
        <v>7</v>
      </c>
      <c r="D153" t="s">
        <v>1039</v>
      </c>
      <c r="E153">
        <v>775000</v>
      </c>
      <c r="F153">
        <f>Perfiles_jugador[[#This Row],[market_value]]/1000000</f>
        <v>0.77500000000000002</v>
      </c>
    </row>
    <row r="154" spans="1:6" x14ac:dyDescent="0.3">
      <c r="A154">
        <v>1012410</v>
      </c>
      <c r="B154" t="s">
        <v>159</v>
      </c>
      <c r="C154" t="s">
        <v>7</v>
      </c>
      <c r="D154" t="s">
        <v>1039</v>
      </c>
      <c r="E154">
        <v>5800000</v>
      </c>
      <c r="F154">
        <f>Perfiles_jugador[[#This Row],[market_value]]/1000000</f>
        <v>5.8</v>
      </c>
    </row>
    <row r="155" spans="1:6" x14ac:dyDescent="0.3">
      <c r="A155">
        <v>1008259</v>
      </c>
      <c r="B155" t="s">
        <v>160</v>
      </c>
      <c r="C155" t="s">
        <v>7</v>
      </c>
      <c r="D155" t="s">
        <v>1039</v>
      </c>
      <c r="E155">
        <v>3100000</v>
      </c>
      <c r="F155">
        <f>Perfiles_jugador[[#This Row],[market_value]]/1000000</f>
        <v>3.1</v>
      </c>
    </row>
    <row r="156" spans="1:6" x14ac:dyDescent="0.3">
      <c r="A156">
        <v>1069703</v>
      </c>
      <c r="B156" t="s">
        <v>161</v>
      </c>
      <c r="C156" t="s">
        <v>7</v>
      </c>
      <c r="D156" t="s">
        <v>1039</v>
      </c>
      <c r="E156">
        <v>2900000</v>
      </c>
      <c r="F156">
        <f>Perfiles_jugador[[#This Row],[market_value]]/1000000</f>
        <v>2.9</v>
      </c>
    </row>
    <row r="157" spans="1:6" x14ac:dyDescent="0.3">
      <c r="A157">
        <v>1145100</v>
      </c>
      <c r="B157" t="s">
        <v>162</v>
      </c>
      <c r="C157" t="s">
        <v>7</v>
      </c>
      <c r="D157" t="s">
        <v>1039</v>
      </c>
      <c r="E157">
        <v>2300000</v>
      </c>
      <c r="F157">
        <f>Perfiles_jugador[[#This Row],[market_value]]/1000000</f>
        <v>2.2999999999999998</v>
      </c>
    </row>
    <row r="158" spans="1:6" x14ac:dyDescent="0.3">
      <c r="A158">
        <v>1630975</v>
      </c>
      <c r="B158" t="s">
        <v>163</v>
      </c>
      <c r="C158" t="s">
        <v>7</v>
      </c>
      <c r="D158" t="s">
        <v>1039</v>
      </c>
      <c r="E158">
        <v>1400000</v>
      </c>
      <c r="F158">
        <f>Perfiles_jugador[[#This Row],[market_value]]/1000000</f>
        <v>1.4</v>
      </c>
    </row>
    <row r="159" spans="1:6" x14ac:dyDescent="0.3">
      <c r="A159">
        <v>815202</v>
      </c>
      <c r="B159" t="s">
        <v>164</v>
      </c>
      <c r="C159" t="s">
        <v>7</v>
      </c>
      <c r="D159" t="s">
        <v>1040</v>
      </c>
      <c r="E159">
        <v>4900000</v>
      </c>
      <c r="F159">
        <f>Perfiles_jugador[[#This Row],[market_value]]/1000000</f>
        <v>4.9000000000000004</v>
      </c>
    </row>
    <row r="160" spans="1:6" x14ac:dyDescent="0.3">
      <c r="A160">
        <v>848980</v>
      </c>
      <c r="B160" t="s">
        <v>165</v>
      </c>
      <c r="C160" t="s">
        <v>7</v>
      </c>
      <c r="D160" t="s">
        <v>1040</v>
      </c>
      <c r="E160">
        <v>960000</v>
      </c>
      <c r="F160">
        <f>Perfiles_jugador[[#This Row],[market_value]]/1000000</f>
        <v>0.96</v>
      </c>
    </row>
    <row r="161" spans="1:6" x14ac:dyDescent="0.3">
      <c r="A161">
        <v>905443</v>
      </c>
      <c r="B161" t="s">
        <v>166</v>
      </c>
      <c r="C161" t="s">
        <v>7</v>
      </c>
      <c r="D161" t="s">
        <v>1040</v>
      </c>
      <c r="E161">
        <v>310000</v>
      </c>
      <c r="F161">
        <f>Perfiles_jugador[[#This Row],[market_value]]/1000000</f>
        <v>0.31</v>
      </c>
    </row>
    <row r="162" spans="1:6" x14ac:dyDescent="0.3">
      <c r="A162">
        <v>823622</v>
      </c>
      <c r="B162" t="s">
        <v>167</v>
      </c>
      <c r="C162" t="s">
        <v>7</v>
      </c>
      <c r="D162" t="s">
        <v>1037</v>
      </c>
      <c r="E162">
        <v>27000000</v>
      </c>
      <c r="F162">
        <f>Perfiles_jugador[[#This Row],[market_value]]/1000000</f>
        <v>27</v>
      </c>
    </row>
    <row r="163" spans="1:6" x14ac:dyDescent="0.3">
      <c r="A163">
        <v>1026015</v>
      </c>
      <c r="B163" t="s">
        <v>168</v>
      </c>
      <c r="C163" t="s">
        <v>7</v>
      </c>
      <c r="D163" t="s">
        <v>1037</v>
      </c>
      <c r="E163">
        <v>12500000</v>
      </c>
      <c r="F163">
        <f>Perfiles_jugador[[#This Row],[market_value]]/1000000</f>
        <v>12.5</v>
      </c>
    </row>
    <row r="164" spans="1:6" x14ac:dyDescent="0.3">
      <c r="A164">
        <v>966862</v>
      </c>
      <c r="B164" t="s">
        <v>169</v>
      </c>
      <c r="C164" t="s">
        <v>7</v>
      </c>
      <c r="D164" t="s">
        <v>1037</v>
      </c>
      <c r="E164">
        <v>19100000</v>
      </c>
      <c r="F164">
        <f>Perfiles_jugador[[#This Row],[market_value]]/1000000</f>
        <v>19.100000000000001</v>
      </c>
    </row>
    <row r="165" spans="1:6" x14ac:dyDescent="0.3">
      <c r="A165">
        <v>1099175</v>
      </c>
      <c r="B165" t="s">
        <v>170</v>
      </c>
      <c r="C165" t="s">
        <v>7</v>
      </c>
      <c r="D165" t="s">
        <v>1037</v>
      </c>
      <c r="E165">
        <v>1800000</v>
      </c>
      <c r="F165">
        <f>Perfiles_jugador[[#This Row],[market_value]]/1000000</f>
        <v>1.8</v>
      </c>
    </row>
    <row r="166" spans="1:6" x14ac:dyDescent="0.3">
      <c r="A166">
        <v>880218</v>
      </c>
      <c r="B166" t="s">
        <v>171</v>
      </c>
      <c r="C166" t="s">
        <v>7</v>
      </c>
      <c r="D166" t="s">
        <v>1038</v>
      </c>
      <c r="E166">
        <v>31000000</v>
      </c>
      <c r="F166">
        <f>Perfiles_jugador[[#This Row],[market_value]]/1000000</f>
        <v>31</v>
      </c>
    </row>
    <row r="167" spans="1:6" x14ac:dyDescent="0.3">
      <c r="A167">
        <v>1211632</v>
      </c>
      <c r="B167" t="s">
        <v>172</v>
      </c>
      <c r="C167" t="s">
        <v>7</v>
      </c>
      <c r="D167" t="s">
        <v>1038</v>
      </c>
      <c r="E167">
        <v>5200000</v>
      </c>
      <c r="F167">
        <f>Perfiles_jugador[[#This Row],[market_value]]/1000000</f>
        <v>5.2</v>
      </c>
    </row>
    <row r="168" spans="1:6" x14ac:dyDescent="0.3">
      <c r="A168">
        <v>949156</v>
      </c>
      <c r="B168" t="s">
        <v>173</v>
      </c>
      <c r="C168" t="s">
        <v>7</v>
      </c>
      <c r="D168" t="s">
        <v>1038</v>
      </c>
      <c r="E168">
        <v>10900000</v>
      </c>
      <c r="F168">
        <f>Perfiles_jugador[[#This Row],[market_value]]/1000000</f>
        <v>10.9</v>
      </c>
    </row>
    <row r="169" spans="1:6" x14ac:dyDescent="0.3">
      <c r="A169">
        <v>1066045</v>
      </c>
      <c r="B169" t="s">
        <v>174</v>
      </c>
      <c r="C169" t="s">
        <v>7</v>
      </c>
      <c r="D169" t="s">
        <v>1038</v>
      </c>
      <c r="E169">
        <v>7300000</v>
      </c>
      <c r="F169">
        <f>Perfiles_jugador[[#This Row],[market_value]]/1000000</f>
        <v>7.3</v>
      </c>
    </row>
    <row r="170" spans="1:6" x14ac:dyDescent="0.3">
      <c r="A170">
        <v>855835</v>
      </c>
      <c r="B170" t="s">
        <v>175</v>
      </c>
      <c r="C170" t="s">
        <v>7</v>
      </c>
      <c r="D170" t="s">
        <v>1038</v>
      </c>
      <c r="E170">
        <v>14600000</v>
      </c>
      <c r="F170">
        <f>Perfiles_jugador[[#This Row],[market_value]]/1000000</f>
        <v>14.6</v>
      </c>
    </row>
    <row r="171" spans="1:6" x14ac:dyDescent="0.3">
      <c r="A171">
        <v>839585</v>
      </c>
      <c r="B171" t="s">
        <v>176</v>
      </c>
      <c r="C171" t="s">
        <v>7</v>
      </c>
      <c r="D171" t="s">
        <v>1038</v>
      </c>
      <c r="E171">
        <v>8400000</v>
      </c>
      <c r="F171">
        <f>Perfiles_jugador[[#This Row],[market_value]]/1000000</f>
        <v>8.4</v>
      </c>
    </row>
    <row r="172" spans="1:6" x14ac:dyDescent="0.3">
      <c r="A172">
        <v>832427</v>
      </c>
      <c r="B172" t="s">
        <v>177</v>
      </c>
      <c r="C172" t="s">
        <v>7</v>
      </c>
      <c r="D172" t="s">
        <v>1038</v>
      </c>
      <c r="E172">
        <v>7600000</v>
      </c>
      <c r="F172">
        <f>Perfiles_jugador[[#This Row],[market_value]]/1000000</f>
        <v>7.6</v>
      </c>
    </row>
    <row r="173" spans="1:6" x14ac:dyDescent="0.3">
      <c r="A173">
        <v>280979</v>
      </c>
      <c r="B173" t="s">
        <v>178</v>
      </c>
      <c r="C173" t="s">
        <v>7</v>
      </c>
      <c r="D173" t="s">
        <v>1038</v>
      </c>
      <c r="E173">
        <v>5700000</v>
      </c>
      <c r="F173">
        <f>Perfiles_jugador[[#This Row],[market_value]]/1000000</f>
        <v>5.7</v>
      </c>
    </row>
    <row r="174" spans="1:6" x14ac:dyDescent="0.3">
      <c r="A174">
        <v>845385</v>
      </c>
      <c r="B174" t="s">
        <v>179</v>
      </c>
      <c r="C174" t="s">
        <v>7</v>
      </c>
      <c r="D174" t="s">
        <v>1038</v>
      </c>
      <c r="E174">
        <v>11600000</v>
      </c>
      <c r="F174">
        <f>Perfiles_jugador[[#This Row],[market_value]]/1000000</f>
        <v>11.6</v>
      </c>
    </row>
    <row r="175" spans="1:6" x14ac:dyDescent="0.3">
      <c r="A175">
        <v>980410</v>
      </c>
      <c r="B175" t="s">
        <v>180</v>
      </c>
      <c r="C175" t="s">
        <v>7</v>
      </c>
      <c r="D175" t="s">
        <v>1038</v>
      </c>
      <c r="E175">
        <v>8500000</v>
      </c>
      <c r="F175">
        <f>Perfiles_jugador[[#This Row],[market_value]]/1000000</f>
        <v>8.5</v>
      </c>
    </row>
    <row r="176" spans="1:6" x14ac:dyDescent="0.3">
      <c r="A176">
        <v>1216309</v>
      </c>
      <c r="B176" t="s">
        <v>181</v>
      </c>
      <c r="C176" t="s">
        <v>7</v>
      </c>
      <c r="D176" t="s">
        <v>1038</v>
      </c>
      <c r="E176">
        <v>27000000</v>
      </c>
      <c r="F176">
        <f>Perfiles_jugador[[#This Row],[market_value]]/1000000</f>
        <v>27</v>
      </c>
    </row>
    <row r="177" spans="1:6" x14ac:dyDescent="0.3">
      <c r="A177">
        <v>1139409</v>
      </c>
      <c r="B177" t="s">
        <v>182</v>
      </c>
      <c r="C177" t="s">
        <v>7</v>
      </c>
      <c r="D177" t="s">
        <v>1038</v>
      </c>
      <c r="E177">
        <v>8400000</v>
      </c>
      <c r="F177">
        <f>Perfiles_jugador[[#This Row],[market_value]]/1000000</f>
        <v>8.4</v>
      </c>
    </row>
    <row r="178" spans="1:6" x14ac:dyDescent="0.3">
      <c r="A178">
        <v>1116388</v>
      </c>
      <c r="B178" t="s">
        <v>183</v>
      </c>
      <c r="C178" t="s">
        <v>7</v>
      </c>
      <c r="D178" t="s">
        <v>1039</v>
      </c>
      <c r="E178">
        <v>13900000</v>
      </c>
      <c r="F178">
        <f>Perfiles_jugador[[#This Row],[market_value]]/1000000</f>
        <v>13.9</v>
      </c>
    </row>
    <row r="179" spans="1:6" x14ac:dyDescent="0.3">
      <c r="A179">
        <v>257091</v>
      </c>
      <c r="B179" t="s">
        <v>184</v>
      </c>
      <c r="C179" t="s">
        <v>7</v>
      </c>
      <c r="D179" t="s">
        <v>1039</v>
      </c>
      <c r="E179">
        <v>3100000</v>
      </c>
      <c r="F179">
        <f>Perfiles_jugador[[#This Row],[market_value]]/1000000</f>
        <v>3.1</v>
      </c>
    </row>
    <row r="180" spans="1:6" x14ac:dyDescent="0.3">
      <c r="A180">
        <v>353250</v>
      </c>
      <c r="B180" t="s">
        <v>185</v>
      </c>
      <c r="C180" t="s">
        <v>7</v>
      </c>
      <c r="D180" t="s">
        <v>1039</v>
      </c>
      <c r="E180">
        <v>825000</v>
      </c>
      <c r="F180">
        <f>Perfiles_jugador[[#This Row],[market_value]]/1000000</f>
        <v>0.82499999999999996</v>
      </c>
    </row>
    <row r="181" spans="1:6" x14ac:dyDescent="0.3">
      <c r="A181">
        <v>1466116</v>
      </c>
      <c r="B181" t="s">
        <v>186</v>
      </c>
      <c r="C181" t="s">
        <v>7</v>
      </c>
      <c r="D181" t="s">
        <v>1039</v>
      </c>
      <c r="E181">
        <v>19300000</v>
      </c>
      <c r="F181">
        <f>Perfiles_jugador[[#This Row],[market_value]]/1000000</f>
        <v>19.3</v>
      </c>
    </row>
    <row r="182" spans="1:6" x14ac:dyDescent="0.3">
      <c r="A182">
        <v>838159</v>
      </c>
      <c r="B182" t="s">
        <v>187</v>
      </c>
      <c r="C182" t="s">
        <v>7</v>
      </c>
      <c r="D182" t="s">
        <v>1039</v>
      </c>
      <c r="E182">
        <v>9500000</v>
      </c>
      <c r="F182">
        <f>Perfiles_jugador[[#This Row],[market_value]]/1000000</f>
        <v>9.5</v>
      </c>
    </row>
    <row r="183" spans="1:6" x14ac:dyDescent="0.3">
      <c r="A183">
        <v>966441</v>
      </c>
      <c r="B183" t="s">
        <v>188</v>
      </c>
      <c r="C183" t="s">
        <v>7</v>
      </c>
      <c r="D183" t="s">
        <v>1039</v>
      </c>
      <c r="E183">
        <v>3600000</v>
      </c>
      <c r="F183">
        <f>Perfiles_jugador[[#This Row],[market_value]]/1000000</f>
        <v>3.6</v>
      </c>
    </row>
    <row r="184" spans="1:6" x14ac:dyDescent="0.3">
      <c r="A184">
        <v>785468</v>
      </c>
      <c r="B184" t="s">
        <v>189</v>
      </c>
      <c r="C184" t="s">
        <v>7</v>
      </c>
      <c r="D184" t="s">
        <v>1039</v>
      </c>
      <c r="E184">
        <v>1900000</v>
      </c>
      <c r="F184">
        <f>Perfiles_jugador[[#This Row],[market_value]]/1000000</f>
        <v>1.9</v>
      </c>
    </row>
    <row r="185" spans="1:6" x14ac:dyDescent="0.3">
      <c r="A185">
        <v>791773</v>
      </c>
      <c r="B185" t="s">
        <v>190</v>
      </c>
      <c r="C185" t="s">
        <v>7</v>
      </c>
      <c r="D185" t="s">
        <v>1040</v>
      </c>
      <c r="E185">
        <v>14900000</v>
      </c>
      <c r="F185">
        <f>Perfiles_jugador[[#This Row],[market_value]]/1000000</f>
        <v>14.9</v>
      </c>
    </row>
    <row r="186" spans="1:6" x14ac:dyDescent="0.3">
      <c r="A186">
        <v>1094782</v>
      </c>
      <c r="B186" t="s">
        <v>191</v>
      </c>
      <c r="C186" t="s">
        <v>7</v>
      </c>
      <c r="D186" t="s">
        <v>1040</v>
      </c>
      <c r="E186">
        <v>655000</v>
      </c>
      <c r="F186">
        <f>Perfiles_jugador[[#This Row],[market_value]]/1000000</f>
        <v>0.65500000000000003</v>
      </c>
    </row>
    <row r="187" spans="1:6" x14ac:dyDescent="0.3">
      <c r="A187">
        <v>973536</v>
      </c>
      <c r="B187" t="s">
        <v>192</v>
      </c>
      <c r="C187" t="s">
        <v>7</v>
      </c>
      <c r="D187" t="s">
        <v>1037</v>
      </c>
      <c r="E187">
        <v>6400000</v>
      </c>
      <c r="F187">
        <f>Perfiles_jugador[[#This Row],[market_value]]/1000000</f>
        <v>6.4</v>
      </c>
    </row>
    <row r="188" spans="1:6" x14ac:dyDescent="0.3">
      <c r="A188">
        <v>604954</v>
      </c>
      <c r="B188" t="s">
        <v>193</v>
      </c>
      <c r="C188" t="s">
        <v>7</v>
      </c>
      <c r="D188" t="s">
        <v>1037</v>
      </c>
      <c r="E188">
        <v>7800000</v>
      </c>
      <c r="F188">
        <f>Perfiles_jugador[[#This Row],[market_value]]/1000000</f>
        <v>7.8</v>
      </c>
    </row>
    <row r="189" spans="1:6" x14ac:dyDescent="0.3">
      <c r="A189">
        <v>974713</v>
      </c>
      <c r="B189" t="s">
        <v>194</v>
      </c>
      <c r="C189" t="s">
        <v>7</v>
      </c>
      <c r="D189" t="s">
        <v>1037</v>
      </c>
      <c r="E189">
        <v>2100000</v>
      </c>
      <c r="F189">
        <f>Perfiles_jugador[[#This Row],[market_value]]/1000000</f>
        <v>2.1</v>
      </c>
    </row>
    <row r="190" spans="1:6" x14ac:dyDescent="0.3">
      <c r="A190">
        <v>831510</v>
      </c>
      <c r="B190" t="s">
        <v>195</v>
      </c>
      <c r="C190" t="s">
        <v>7</v>
      </c>
      <c r="D190" t="s">
        <v>1037</v>
      </c>
      <c r="E190">
        <v>4300000</v>
      </c>
      <c r="F190">
        <f>Perfiles_jugador[[#This Row],[market_value]]/1000000</f>
        <v>4.3</v>
      </c>
    </row>
    <row r="191" spans="1:6" x14ac:dyDescent="0.3">
      <c r="A191">
        <v>1515554</v>
      </c>
      <c r="B191" t="s">
        <v>196</v>
      </c>
      <c r="C191" t="s">
        <v>7</v>
      </c>
      <c r="D191" t="s">
        <v>1037</v>
      </c>
      <c r="E191">
        <v>6200000</v>
      </c>
      <c r="F191">
        <f>Perfiles_jugador[[#This Row],[market_value]]/1000000</f>
        <v>6.2</v>
      </c>
    </row>
    <row r="192" spans="1:6" x14ac:dyDescent="0.3">
      <c r="A192">
        <v>96369</v>
      </c>
      <c r="B192" t="s">
        <v>197</v>
      </c>
      <c r="C192" t="s">
        <v>7</v>
      </c>
      <c r="D192" t="s">
        <v>1037</v>
      </c>
      <c r="E192">
        <v>1100000</v>
      </c>
      <c r="F192">
        <f>Perfiles_jugador[[#This Row],[market_value]]/1000000</f>
        <v>1.1000000000000001</v>
      </c>
    </row>
    <row r="193" spans="1:6" x14ac:dyDescent="0.3">
      <c r="A193">
        <v>1154549</v>
      </c>
      <c r="B193" t="s">
        <v>198</v>
      </c>
      <c r="C193" t="s">
        <v>7</v>
      </c>
      <c r="D193" t="s">
        <v>1038</v>
      </c>
      <c r="E193">
        <v>10700000</v>
      </c>
      <c r="F193">
        <f>Perfiles_jugador[[#This Row],[market_value]]/1000000</f>
        <v>10.7</v>
      </c>
    </row>
    <row r="194" spans="1:6" x14ac:dyDescent="0.3">
      <c r="A194">
        <v>811629</v>
      </c>
      <c r="B194" t="s">
        <v>199</v>
      </c>
      <c r="C194" t="s">
        <v>7</v>
      </c>
      <c r="D194" t="s">
        <v>1038</v>
      </c>
      <c r="E194">
        <v>3200000</v>
      </c>
      <c r="F194">
        <f>Perfiles_jugador[[#This Row],[market_value]]/1000000</f>
        <v>3.2</v>
      </c>
    </row>
    <row r="195" spans="1:6" x14ac:dyDescent="0.3">
      <c r="A195">
        <v>385888</v>
      </c>
      <c r="B195" t="s">
        <v>200</v>
      </c>
      <c r="C195" t="s">
        <v>7</v>
      </c>
      <c r="D195" t="s">
        <v>1038</v>
      </c>
      <c r="E195">
        <v>10300000</v>
      </c>
      <c r="F195">
        <f>Perfiles_jugador[[#This Row],[market_value]]/1000000</f>
        <v>10.3</v>
      </c>
    </row>
    <row r="196" spans="1:6" x14ac:dyDescent="0.3">
      <c r="A196">
        <v>1087476</v>
      </c>
      <c r="B196" t="s">
        <v>201</v>
      </c>
      <c r="C196" t="s">
        <v>7</v>
      </c>
      <c r="D196" t="s">
        <v>1038</v>
      </c>
      <c r="E196">
        <v>2900000</v>
      </c>
      <c r="F196">
        <f>Perfiles_jugador[[#This Row],[market_value]]/1000000</f>
        <v>2.9</v>
      </c>
    </row>
    <row r="197" spans="1:6" x14ac:dyDescent="0.3">
      <c r="A197">
        <v>353154</v>
      </c>
      <c r="B197" t="s">
        <v>202</v>
      </c>
      <c r="C197" t="s">
        <v>7</v>
      </c>
      <c r="D197" t="s">
        <v>1038</v>
      </c>
      <c r="E197">
        <v>1400000</v>
      </c>
      <c r="F197">
        <f>Perfiles_jugador[[#This Row],[market_value]]/1000000</f>
        <v>1.4</v>
      </c>
    </row>
    <row r="198" spans="1:6" x14ac:dyDescent="0.3">
      <c r="A198">
        <v>1398518</v>
      </c>
      <c r="B198" t="s">
        <v>203</v>
      </c>
      <c r="C198" t="s">
        <v>7</v>
      </c>
      <c r="D198" t="s">
        <v>1038</v>
      </c>
      <c r="E198">
        <v>1900000</v>
      </c>
      <c r="F198">
        <f>Perfiles_jugador[[#This Row],[market_value]]/1000000</f>
        <v>1.9</v>
      </c>
    </row>
    <row r="199" spans="1:6" x14ac:dyDescent="0.3">
      <c r="A199">
        <v>2439155</v>
      </c>
      <c r="B199" t="s">
        <v>204</v>
      </c>
      <c r="C199" t="s">
        <v>7</v>
      </c>
      <c r="D199" t="s">
        <v>1038</v>
      </c>
      <c r="E199">
        <v>52000</v>
      </c>
      <c r="F199">
        <f>Perfiles_jugador[[#This Row],[market_value]]/1000000</f>
        <v>5.1999999999999998E-2</v>
      </c>
    </row>
    <row r="200" spans="1:6" x14ac:dyDescent="0.3">
      <c r="A200">
        <v>1101232</v>
      </c>
      <c r="B200" t="s">
        <v>205</v>
      </c>
      <c r="C200" t="s">
        <v>7</v>
      </c>
      <c r="D200" t="s">
        <v>1039</v>
      </c>
      <c r="E200">
        <v>5700000</v>
      </c>
      <c r="F200">
        <f>Perfiles_jugador[[#This Row],[market_value]]/1000000</f>
        <v>5.7</v>
      </c>
    </row>
    <row r="201" spans="1:6" x14ac:dyDescent="0.3">
      <c r="A201">
        <v>307702</v>
      </c>
      <c r="B201" t="s">
        <v>206</v>
      </c>
      <c r="C201" t="s">
        <v>7</v>
      </c>
      <c r="D201" t="s">
        <v>1039</v>
      </c>
      <c r="E201">
        <v>1700000</v>
      </c>
      <c r="F201">
        <f>Perfiles_jugador[[#This Row],[market_value]]/1000000</f>
        <v>1.7</v>
      </c>
    </row>
    <row r="202" spans="1:6" x14ac:dyDescent="0.3">
      <c r="A202">
        <v>1895964</v>
      </c>
      <c r="B202" t="s">
        <v>207</v>
      </c>
      <c r="C202" t="s">
        <v>7</v>
      </c>
      <c r="D202" t="s">
        <v>1039</v>
      </c>
      <c r="E202">
        <v>290000</v>
      </c>
      <c r="F202">
        <f>Perfiles_jugador[[#This Row],[market_value]]/1000000</f>
        <v>0.28999999999999998</v>
      </c>
    </row>
    <row r="203" spans="1:6" x14ac:dyDescent="0.3">
      <c r="A203">
        <v>1392092</v>
      </c>
      <c r="B203" t="s">
        <v>208</v>
      </c>
      <c r="C203" t="s">
        <v>7</v>
      </c>
      <c r="D203" t="s">
        <v>1039</v>
      </c>
      <c r="E203">
        <v>2900000</v>
      </c>
      <c r="F203">
        <f>Perfiles_jugador[[#This Row],[market_value]]/1000000</f>
        <v>2.9</v>
      </c>
    </row>
    <row r="204" spans="1:6" x14ac:dyDescent="0.3">
      <c r="A204">
        <v>1108450</v>
      </c>
      <c r="B204" t="s">
        <v>209</v>
      </c>
      <c r="C204" t="s">
        <v>7</v>
      </c>
      <c r="D204" t="s">
        <v>1039</v>
      </c>
      <c r="E204">
        <v>2400000</v>
      </c>
      <c r="F204">
        <f>Perfiles_jugador[[#This Row],[market_value]]/1000000</f>
        <v>2.4</v>
      </c>
    </row>
    <row r="205" spans="1:6" x14ac:dyDescent="0.3">
      <c r="A205">
        <v>350560</v>
      </c>
      <c r="B205" t="s">
        <v>210</v>
      </c>
      <c r="C205" t="s">
        <v>7</v>
      </c>
      <c r="D205" t="s">
        <v>1039</v>
      </c>
      <c r="E205">
        <v>1200000</v>
      </c>
      <c r="F205">
        <f>Perfiles_jugador[[#This Row],[market_value]]/1000000</f>
        <v>1.2</v>
      </c>
    </row>
    <row r="206" spans="1:6" x14ac:dyDescent="0.3">
      <c r="A206">
        <v>128637</v>
      </c>
      <c r="B206" t="s">
        <v>211</v>
      </c>
      <c r="C206" t="s">
        <v>7</v>
      </c>
      <c r="D206" t="s">
        <v>1039</v>
      </c>
      <c r="E206">
        <v>220000</v>
      </c>
      <c r="F206">
        <f>Perfiles_jugador[[#This Row],[market_value]]/1000000</f>
        <v>0.22</v>
      </c>
    </row>
    <row r="207" spans="1:6" x14ac:dyDescent="0.3">
      <c r="A207">
        <v>576276</v>
      </c>
      <c r="B207" t="s">
        <v>212</v>
      </c>
      <c r="C207" t="s">
        <v>7</v>
      </c>
      <c r="D207" t="s">
        <v>1039</v>
      </c>
      <c r="E207">
        <v>870000</v>
      </c>
      <c r="F207">
        <f>Perfiles_jugador[[#This Row],[market_value]]/1000000</f>
        <v>0.87</v>
      </c>
    </row>
    <row r="208" spans="1:6" x14ac:dyDescent="0.3">
      <c r="A208">
        <v>949707</v>
      </c>
      <c r="B208" t="s">
        <v>213</v>
      </c>
      <c r="C208" t="s">
        <v>7</v>
      </c>
      <c r="D208" t="s">
        <v>1039</v>
      </c>
      <c r="E208">
        <v>4800000</v>
      </c>
      <c r="F208">
        <f>Perfiles_jugador[[#This Row],[market_value]]/1000000</f>
        <v>4.8</v>
      </c>
    </row>
    <row r="209" spans="1:6" x14ac:dyDescent="0.3">
      <c r="A209">
        <v>53739</v>
      </c>
      <c r="B209" t="s">
        <v>214</v>
      </c>
      <c r="C209" t="s">
        <v>7</v>
      </c>
      <c r="D209" t="s">
        <v>1039</v>
      </c>
      <c r="E209">
        <v>840000</v>
      </c>
      <c r="F209">
        <f>Perfiles_jugador[[#This Row],[market_value]]/1000000</f>
        <v>0.84</v>
      </c>
    </row>
    <row r="210" spans="1:6" x14ac:dyDescent="0.3">
      <c r="A210">
        <v>1918369</v>
      </c>
      <c r="B210" t="s">
        <v>215</v>
      </c>
      <c r="C210" t="s">
        <v>7</v>
      </c>
      <c r="D210" t="s">
        <v>1039</v>
      </c>
      <c r="E210">
        <v>910000</v>
      </c>
      <c r="F210">
        <f>Perfiles_jugador[[#This Row],[market_value]]/1000000</f>
        <v>0.91</v>
      </c>
    </row>
    <row r="211" spans="1:6" x14ac:dyDescent="0.3">
      <c r="A211">
        <v>1895197</v>
      </c>
      <c r="B211" t="s">
        <v>216</v>
      </c>
      <c r="C211" t="s">
        <v>7</v>
      </c>
      <c r="D211" t="s">
        <v>1039</v>
      </c>
      <c r="E211">
        <v>45000</v>
      </c>
      <c r="F211">
        <f>Perfiles_jugador[[#This Row],[market_value]]/1000000</f>
        <v>4.4999999999999998E-2</v>
      </c>
    </row>
    <row r="212" spans="1:6" x14ac:dyDescent="0.3">
      <c r="A212">
        <v>604258</v>
      </c>
      <c r="B212" t="s">
        <v>217</v>
      </c>
      <c r="C212" t="s">
        <v>7</v>
      </c>
      <c r="D212" t="s">
        <v>1040</v>
      </c>
      <c r="E212">
        <v>2900000</v>
      </c>
      <c r="F212">
        <f>Perfiles_jugador[[#This Row],[market_value]]/1000000</f>
        <v>2.9</v>
      </c>
    </row>
    <row r="213" spans="1:6" x14ac:dyDescent="0.3">
      <c r="A213">
        <v>826047</v>
      </c>
      <c r="B213" t="s">
        <v>218</v>
      </c>
      <c r="C213" t="s">
        <v>7</v>
      </c>
      <c r="D213" t="s">
        <v>1040</v>
      </c>
      <c r="E213">
        <v>1900000</v>
      </c>
      <c r="F213">
        <f>Perfiles_jugador[[#This Row],[market_value]]/1000000</f>
        <v>1.9</v>
      </c>
    </row>
    <row r="214" spans="1:6" x14ac:dyDescent="0.3">
      <c r="A214">
        <v>1513631</v>
      </c>
      <c r="B214" t="s">
        <v>219</v>
      </c>
      <c r="C214" t="s">
        <v>7</v>
      </c>
      <c r="D214" t="s">
        <v>1040</v>
      </c>
      <c r="E214">
        <v>26000</v>
      </c>
      <c r="F214">
        <f>Perfiles_jugador[[#This Row],[market_value]]/1000000</f>
        <v>2.5999999999999999E-2</v>
      </c>
    </row>
    <row r="215" spans="1:6" x14ac:dyDescent="0.3">
      <c r="A215">
        <v>1520799</v>
      </c>
      <c r="B215" t="s">
        <v>220</v>
      </c>
      <c r="C215" t="s">
        <v>7</v>
      </c>
      <c r="D215" t="s">
        <v>1037</v>
      </c>
      <c r="E215">
        <v>4700000</v>
      </c>
      <c r="F215">
        <f>Perfiles_jugador[[#This Row],[market_value]]/1000000</f>
        <v>4.7</v>
      </c>
    </row>
    <row r="216" spans="1:6" x14ac:dyDescent="0.3">
      <c r="A216">
        <v>605672</v>
      </c>
      <c r="B216" t="s">
        <v>221</v>
      </c>
      <c r="C216" t="s">
        <v>7</v>
      </c>
      <c r="D216" t="s">
        <v>1037</v>
      </c>
      <c r="E216">
        <v>4600000</v>
      </c>
      <c r="F216">
        <f>Perfiles_jugador[[#This Row],[market_value]]/1000000</f>
        <v>4.5999999999999996</v>
      </c>
    </row>
    <row r="217" spans="1:6" x14ac:dyDescent="0.3">
      <c r="A217">
        <v>1430667</v>
      </c>
      <c r="B217" t="s">
        <v>222</v>
      </c>
      <c r="C217" t="s">
        <v>7</v>
      </c>
      <c r="D217" t="s">
        <v>1037</v>
      </c>
      <c r="E217">
        <v>1600000</v>
      </c>
      <c r="F217">
        <f>Perfiles_jugador[[#This Row],[market_value]]/1000000</f>
        <v>1.6</v>
      </c>
    </row>
    <row r="218" spans="1:6" x14ac:dyDescent="0.3">
      <c r="A218">
        <v>1085400</v>
      </c>
      <c r="B218" t="s">
        <v>223</v>
      </c>
      <c r="C218" t="s">
        <v>7</v>
      </c>
      <c r="D218" t="s">
        <v>1038</v>
      </c>
      <c r="E218">
        <v>65000000</v>
      </c>
      <c r="F218">
        <f>Perfiles_jugador[[#This Row],[market_value]]/1000000</f>
        <v>65</v>
      </c>
    </row>
    <row r="219" spans="1:6" x14ac:dyDescent="0.3">
      <c r="A219">
        <v>783374</v>
      </c>
      <c r="B219" t="s">
        <v>224</v>
      </c>
      <c r="C219" t="s">
        <v>7</v>
      </c>
      <c r="D219" t="s">
        <v>1038</v>
      </c>
      <c r="E219">
        <v>9100000</v>
      </c>
      <c r="F219">
        <f>Perfiles_jugador[[#This Row],[market_value]]/1000000</f>
        <v>9.1</v>
      </c>
    </row>
    <row r="220" spans="1:6" x14ac:dyDescent="0.3">
      <c r="A220">
        <v>966801</v>
      </c>
      <c r="B220" t="s">
        <v>225</v>
      </c>
      <c r="C220" t="s">
        <v>7</v>
      </c>
      <c r="D220" t="s">
        <v>1038</v>
      </c>
      <c r="E220">
        <v>39000000</v>
      </c>
      <c r="F220">
        <f>Perfiles_jugador[[#This Row],[market_value]]/1000000</f>
        <v>39</v>
      </c>
    </row>
    <row r="221" spans="1:6" x14ac:dyDescent="0.3">
      <c r="A221">
        <v>592012</v>
      </c>
      <c r="B221" t="s">
        <v>226</v>
      </c>
      <c r="C221" t="s">
        <v>7</v>
      </c>
      <c r="D221" t="s">
        <v>1038</v>
      </c>
      <c r="E221">
        <v>5200000</v>
      </c>
      <c r="F221">
        <f>Perfiles_jugador[[#This Row],[market_value]]/1000000</f>
        <v>5.2</v>
      </c>
    </row>
    <row r="222" spans="1:6" x14ac:dyDescent="0.3">
      <c r="A222">
        <v>1495844</v>
      </c>
      <c r="B222" t="s">
        <v>227</v>
      </c>
      <c r="C222" t="s">
        <v>7</v>
      </c>
      <c r="D222" t="s">
        <v>1038</v>
      </c>
      <c r="E222">
        <v>36000000</v>
      </c>
      <c r="F222">
        <f>Perfiles_jugador[[#This Row],[market_value]]/1000000</f>
        <v>36</v>
      </c>
    </row>
    <row r="223" spans="1:6" x14ac:dyDescent="0.3">
      <c r="A223">
        <v>96365</v>
      </c>
      <c r="B223" t="s">
        <v>228</v>
      </c>
      <c r="C223" t="s">
        <v>7</v>
      </c>
      <c r="D223" t="s">
        <v>1038</v>
      </c>
      <c r="E223">
        <v>2300000</v>
      </c>
      <c r="F223">
        <f>Perfiles_jugador[[#This Row],[market_value]]/1000000</f>
        <v>2.2999999999999998</v>
      </c>
    </row>
    <row r="224" spans="1:6" x14ac:dyDescent="0.3">
      <c r="A224">
        <v>944165</v>
      </c>
      <c r="B224" t="s">
        <v>229</v>
      </c>
      <c r="C224" t="s">
        <v>7</v>
      </c>
      <c r="D224" t="s">
        <v>1038</v>
      </c>
      <c r="E224">
        <v>6500000</v>
      </c>
      <c r="F224">
        <f>Perfiles_jugador[[#This Row],[market_value]]/1000000</f>
        <v>6.5</v>
      </c>
    </row>
    <row r="225" spans="1:6" x14ac:dyDescent="0.3">
      <c r="A225">
        <v>1391375</v>
      </c>
      <c r="B225" t="s">
        <v>230</v>
      </c>
      <c r="C225" t="s">
        <v>7</v>
      </c>
      <c r="D225" t="s">
        <v>1038</v>
      </c>
      <c r="E225">
        <v>5200000</v>
      </c>
      <c r="F225">
        <f>Perfiles_jugador[[#This Row],[market_value]]/1000000</f>
        <v>5.2</v>
      </c>
    </row>
    <row r="226" spans="1:6" x14ac:dyDescent="0.3">
      <c r="A226">
        <v>1012409</v>
      </c>
      <c r="B226" t="s">
        <v>231</v>
      </c>
      <c r="C226" t="s">
        <v>7</v>
      </c>
      <c r="D226" t="s">
        <v>1038</v>
      </c>
      <c r="E226">
        <v>18500000</v>
      </c>
      <c r="F226">
        <f>Perfiles_jugador[[#This Row],[market_value]]/1000000</f>
        <v>18.5</v>
      </c>
    </row>
    <row r="227" spans="1:6" x14ac:dyDescent="0.3">
      <c r="A227">
        <v>2110897</v>
      </c>
      <c r="B227" t="s">
        <v>232</v>
      </c>
      <c r="C227" t="s">
        <v>7</v>
      </c>
      <c r="D227" t="s">
        <v>1038</v>
      </c>
      <c r="E227">
        <v>3300000</v>
      </c>
      <c r="F227">
        <f>Perfiles_jugador[[#This Row],[market_value]]/1000000</f>
        <v>3.3</v>
      </c>
    </row>
    <row r="228" spans="1:6" x14ac:dyDescent="0.3">
      <c r="A228">
        <v>1953923</v>
      </c>
      <c r="B228" t="s">
        <v>233</v>
      </c>
      <c r="C228" t="s">
        <v>7</v>
      </c>
      <c r="D228" t="s">
        <v>1038</v>
      </c>
      <c r="E228">
        <v>3100000</v>
      </c>
      <c r="F228">
        <f>Perfiles_jugador[[#This Row],[market_value]]/1000000</f>
        <v>3.1</v>
      </c>
    </row>
    <row r="229" spans="1:6" x14ac:dyDescent="0.3">
      <c r="A229">
        <v>359742</v>
      </c>
      <c r="B229" t="s">
        <v>234</v>
      </c>
      <c r="C229" t="s">
        <v>7</v>
      </c>
      <c r="D229" t="s">
        <v>1038</v>
      </c>
      <c r="E229">
        <v>1400000</v>
      </c>
      <c r="F229">
        <f>Perfiles_jugador[[#This Row],[market_value]]/1000000</f>
        <v>1.4</v>
      </c>
    </row>
    <row r="230" spans="1:6" x14ac:dyDescent="0.3">
      <c r="A230">
        <v>1019318</v>
      </c>
      <c r="B230" t="s">
        <v>235</v>
      </c>
      <c r="C230" t="s">
        <v>7</v>
      </c>
      <c r="D230" t="s">
        <v>1038</v>
      </c>
      <c r="E230">
        <v>1600000</v>
      </c>
      <c r="F230">
        <f>Perfiles_jugador[[#This Row],[market_value]]/1000000</f>
        <v>1.6</v>
      </c>
    </row>
    <row r="231" spans="1:6" x14ac:dyDescent="0.3">
      <c r="A231">
        <v>149734</v>
      </c>
      <c r="B231" t="s">
        <v>236</v>
      </c>
      <c r="C231" t="s">
        <v>7</v>
      </c>
      <c r="D231" t="s">
        <v>1039</v>
      </c>
      <c r="E231">
        <v>9400000</v>
      </c>
      <c r="F231">
        <f>Perfiles_jugador[[#This Row],[market_value]]/1000000</f>
        <v>9.4</v>
      </c>
    </row>
    <row r="232" spans="1:6" x14ac:dyDescent="0.3">
      <c r="A232">
        <v>910978</v>
      </c>
      <c r="B232" t="s">
        <v>237</v>
      </c>
      <c r="C232" t="s">
        <v>7</v>
      </c>
      <c r="D232" t="s">
        <v>1039</v>
      </c>
      <c r="E232">
        <v>27000000</v>
      </c>
      <c r="F232">
        <f>Perfiles_jugador[[#This Row],[market_value]]/1000000</f>
        <v>27</v>
      </c>
    </row>
    <row r="233" spans="1:6" x14ac:dyDescent="0.3">
      <c r="A233">
        <v>1398511</v>
      </c>
      <c r="B233" t="s">
        <v>238</v>
      </c>
      <c r="C233" t="s">
        <v>7</v>
      </c>
      <c r="D233" t="s">
        <v>1039</v>
      </c>
      <c r="E233">
        <v>2800000</v>
      </c>
      <c r="F233">
        <f>Perfiles_jugador[[#This Row],[market_value]]/1000000</f>
        <v>2.8</v>
      </c>
    </row>
    <row r="234" spans="1:6" x14ac:dyDescent="0.3">
      <c r="A234">
        <v>84531</v>
      </c>
      <c r="B234" t="s">
        <v>239</v>
      </c>
      <c r="C234" t="s">
        <v>7</v>
      </c>
      <c r="D234" t="s">
        <v>1039</v>
      </c>
      <c r="E234">
        <v>1100000</v>
      </c>
      <c r="F234">
        <f>Perfiles_jugador[[#This Row],[market_value]]/1000000</f>
        <v>1.1000000000000001</v>
      </c>
    </row>
    <row r="235" spans="1:6" x14ac:dyDescent="0.3">
      <c r="A235">
        <v>959872</v>
      </c>
      <c r="B235" t="s">
        <v>240</v>
      </c>
      <c r="C235" t="s">
        <v>7</v>
      </c>
      <c r="D235" t="s">
        <v>1039</v>
      </c>
      <c r="E235">
        <v>17100000</v>
      </c>
      <c r="F235">
        <f>Perfiles_jugador[[#This Row],[market_value]]/1000000</f>
        <v>17.100000000000001</v>
      </c>
    </row>
    <row r="236" spans="1:6" x14ac:dyDescent="0.3">
      <c r="A236">
        <v>807648</v>
      </c>
      <c r="B236" t="s">
        <v>241</v>
      </c>
      <c r="C236" t="s">
        <v>7</v>
      </c>
      <c r="D236" t="s">
        <v>1039</v>
      </c>
      <c r="E236">
        <v>1000000</v>
      </c>
      <c r="F236">
        <f>Perfiles_jugador[[#This Row],[market_value]]/1000000</f>
        <v>1</v>
      </c>
    </row>
    <row r="237" spans="1:6" x14ac:dyDescent="0.3">
      <c r="A237">
        <v>910267</v>
      </c>
      <c r="B237" t="s">
        <v>242</v>
      </c>
      <c r="C237" t="s">
        <v>7</v>
      </c>
      <c r="D237" t="s">
        <v>1039</v>
      </c>
      <c r="E237">
        <v>11000000</v>
      </c>
      <c r="F237">
        <f>Perfiles_jugador[[#This Row],[market_value]]/1000000</f>
        <v>11</v>
      </c>
    </row>
    <row r="238" spans="1:6" x14ac:dyDescent="0.3">
      <c r="A238">
        <v>866810</v>
      </c>
      <c r="B238" t="s">
        <v>243</v>
      </c>
      <c r="C238" t="s">
        <v>7</v>
      </c>
      <c r="D238" t="s">
        <v>1039</v>
      </c>
      <c r="E238">
        <v>3900000</v>
      </c>
      <c r="F238">
        <f>Perfiles_jugador[[#This Row],[market_value]]/1000000</f>
        <v>3.9</v>
      </c>
    </row>
    <row r="239" spans="1:6" x14ac:dyDescent="0.3">
      <c r="A239">
        <v>801837</v>
      </c>
      <c r="B239" t="s">
        <v>244</v>
      </c>
      <c r="C239" t="s">
        <v>7</v>
      </c>
      <c r="D239" t="s">
        <v>1039</v>
      </c>
      <c r="E239">
        <v>1100000</v>
      </c>
      <c r="F239">
        <f>Perfiles_jugador[[#This Row],[market_value]]/1000000</f>
        <v>1.1000000000000001</v>
      </c>
    </row>
    <row r="240" spans="1:6" x14ac:dyDescent="0.3">
      <c r="A240">
        <v>1391374</v>
      </c>
      <c r="B240" t="s">
        <v>245</v>
      </c>
      <c r="C240" t="s">
        <v>7</v>
      </c>
      <c r="D240" t="s">
        <v>1039</v>
      </c>
      <c r="E240">
        <v>620000</v>
      </c>
      <c r="F240">
        <f>Perfiles_jugador[[#This Row],[market_value]]/1000000</f>
        <v>0.62</v>
      </c>
    </row>
    <row r="241" spans="1:6" x14ac:dyDescent="0.3">
      <c r="A241">
        <v>1934668</v>
      </c>
      <c r="B241" t="s">
        <v>246</v>
      </c>
      <c r="C241" t="s">
        <v>7</v>
      </c>
      <c r="D241" t="s">
        <v>1039</v>
      </c>
      <c r="E241">
        <v>110000</v>
      </c>
      <c r="F241">
        <f>Perfiles_jugador[[#This Row],[market_value]]/1000000</f>
        <v>0.11</v>
      </c>
    </row>
    <row r="242" spans="1:6" x14ac:dyDescent="0.3">
      <c r="A242">
        <v>797291</v>
      </c>
      <c r="B242" t="s">
        <v>247</v>
      </c>
      <c r="C242" t="s">
        <v>7</v>
      </c>
      <c r="D242" t="s">
        <v>1040</v>
      </c>
      <c r="E242">
        <v>24000000</v>
      </c>
      <c r="F242">
        <f>Perfiles_jugador[[#This Row],[market_value]]/1000000</f>
        <v>24</v>
      </c>
    </row>
    <row r="243" spans="1:6" x14ac:dyDescent="0.3">
      <c r="A243">
        <v>1155116</v>
      </c>
      <c r="B243" t="s">
        <v>248</v>
      </c>
      <c r="C243" t="s">
        <v>7</v>
      </c>
      <c r="D243" t="s">
        <v>1040</v>
      </c>
      <c r="E243">
        <v>3100000</v>
      </c>
      <c r="F243">
        <f>Perfiles_jugador[[#This Row],[market_value]]/1000000</f>
        <v>3.1</v>
      </c>
    </row>
    <row r="244" spans="1:6" x14ac:dyDescent="0.3">
      <c r="A244">
        <v>1145642</v>
      </c>
      <c r="B244" t="s">
        <v>249</v>
      </c>
      <c r="C244" t="s">
        <v>7</v>
      </c>
      <c r="D244" t="s">
        <v>1037</v>
      </c>
      <c r="E244">
        <v>19400000</v>
      </c>
      <c r="F244">
        <f>Perfiles_jugador[[#This Row],[market_value]]/1000000</f>
        <v>19.399999999999999</v>
      </c>
    </row>
    <row r="245" spans="1:6" x14ac:dyDescent="0.3">
      <c r="A245">
        <v>37318</v>
      </c>
      <c r="B245" t="s">
        <v>250</v>
      </c>
      <c r="C245" t="s">
        <v>7</v>
      </c>
      <c r="D245" t="s">
        <v>1037</v>
      </c>
      <c r="E245">
        <v>2800000</v>
      </c>
      <c r="F245">
        <f>Perfiles_jugador[[#This Row],[market_value]]/1000000</f>
        <v>2.8</v>
      </c>
    </row>
    <row r="246" spans="1:6" x14ac:dyDescent="0.3">
      <c r="A246">
        <v>997280</v>
      </c>
      <c r="B246" t="s">
        <v>251</v>
      </c>
      <c r="C246" t="s">
        <v>7</v>
      </c>
      <c r="D246" t="s">
        <v>1037</v>
      </c>
      <c r="E246">
        <v>3100000</v>
      </c>
      <c r="F246">
        <f>Perfiles_jugador[[#This Row],[market_value]]/1000000</f>
        <v>3.1</v>
      </c>
    </row>
    <row r="247" spans="1:6" x14ac:dyDescent="0.3">
      <c r="A247">
        <v>1086346</v>
      </c>
      <c r="B247" t="s">
        <v>252</v>
      </c>
      <c r="C247" t="s">
        <v>7</v>
      </c>
      <c r="D247" t="s">
        <v>1037</v>
      </c>
      <c r="E247">
        <v>1600000</v>
      </c>
      <c r="F247">
        <f>Perfiles_jugador[[#This Row],[market_value]]/1000000</f>
        <v>1.6</v>
      </c>
    </row>
    <row r="248" spans="1:6" x14ac:dyDescent="0.3">
      <c r="A248">
        <v>591132</v>
      </c>
      <c r="B248" t="s">
        <v>253</v>
      </c>
      <c r="C248" t="s">
        <v>7</v>
      </c>
      <c r="D248" t="s">
        <v>1037</v>
      </c>
      <c r="E248">
        <v>1500000</v>
      </c>
      <c r="F248">
        <f>Perfiles_jugador[[#This Row],[market_value]]/1000000</f>
        <v>1.5</v>
      </c>
    </row>
    <row r="249" spans="1:6" x14ac:dyDescent="0.3">
      <c r="A249">
        <v>980383</v>
      </c>
      <c r="B249" t="s">
        <v>254</v>
      </c>
      <c r="C249" t="s">
        <v>7</v>
      </c>
      <c r="D249" t="s">
        <v>1038</v>
      </c>
      <c r="E249">
        <v>6700000</v>
      </c>
      <c r="F249">
        <f>Perfiles_jugador[[#This Row],[market_value]]/1000000</f>
        <v>6.7</v>
      </c>
    </row>
    <row r="250" spans="1:6" x14ac:dyDescent="0.3">
      <c r="A250">
        <v>985329</v>
      </c>
      <c r="B250" t="s">
        <v>255</v>
      </c>
      <c r="C250" t="s">
        <v>7</v>
      </c>
      <c r="D250" t="s">
        <v>1038</v>
      </c>
      <c r="E250">
        <v>8199999</v>
      </c>
      <c r="F250">
        <f>Perfiles_jugador[[#This Row],[market_value]]/1000000</f>
        <v>8.199999</v>
      </c>
    </row>
    <row r="251" spans="1:6" x14ac:dyDescent="0.3">
      <c r="A251">
        <v>260031</v>
      </c>
      <c r="B251" t="s">
        <v>256</v>
      </c>
      <c r="C251" t="s">
        <v>7</v>
      </c>
      <c r="D251" t="s">
        <v>1038</v>
      </c>
      <c r="E251">
        <v>1900000</v>
      </c>
      <c r="F251">
        <f>Perfiles_jugador[[#This Row],[market_value]]/1000000</f>
        <v>1.9</v>
      </c>
    </row>
    <row r="252" spans="1:6" x14ac:dyDescent="0.3">
      <c r="A252">
        <v>976141</v>
      </c>
      <c r="B252" t="s">
        <v>257</v>
      </c>
      <c r="C252" t="s">
        <v>7</v>
      </c>
      <c r="D252" t="s">
        <v>1038</v>
      </c>
      <c r="E252">
        <v>7300000</v>
      </c>
      <c r="F252">
        <f>Perfiles_jugador[[#This Row],[market_value]]/1000000</f>
        <v>7.3</v>
      </c>
    </row>
    <row r="253" spans="1:6" x14ac:dyDescent="0.3">
      <c r="A253">
        <v>187313</v>
      </c>
      <c r="B253" t="s">
        <v>258</v>
      </c>
      <c r="C253" t="s">
        <v>7</v>
      </c>
      <c r="D253" t="s">
        <v>1038</v>
      </c>
      <c r="E253">
        <v>3100000</v>
      </c>
      <c r="F253">
        <f>Perfiles_jugador[[#This Row],[market_value]]/1000000</f>
        <v>3.1</v>
      </c>
    </row>
    <row r="254" spans="1:6" x14ac:dyDescent="0.3">
      <c r="A254">
        <v>149370</v>
      </c>
      <c r="B254" t="s">
        <v>259</v>
      </c>
      <c r="C254" t="s">
        <v>7</v>
      </c>
      <c r="D254" t="s">
        <v>1038</v>
      </c>
      <c r="E254">
        <v>1900000</v>
      </c>
      <c r="F254">
        <f>Perfiles_jugador[[#This Row],[market_value]]/1000000</f>
        <v>1.9</v>
      </c>
    </row>
    <row r="255" spans="1:6" x14ac:dyDescent="0.3">
      <c r="A255">
        <v>1119586</v>
      </c>
      <c r="B255" t="s">
        <v>260</v>
      </c>
      <c r="C255" t="s">
        <v>7</v>
      </c>
      <c r="D255" t="s">
        <v>1038</v>
      </c>
      <c r="E255">
        <v>1800000</v>
      </c>
      <c r="F255">
        <f>Perfiles_jugador[[#This Row],[market_value]]/1000000</f>
        <v>1.8</v>
      </c>
    </row>
    <row r="256" spans="1:6" x14ac:dyDescent="0.3">
      <c r="A256">
        <v>1399702</v>
      </c>
      <c r="B256" t="s">
        <v>261</v>
      </c>
      <c r="C256" t="s">
        <v>7</v>
      </c>
      <c r="D256" t="s">
        <v>1038</v>
      </c>
      <c r="E256">
        <v>1000000</v>
      </c>
      <c r="F256">
        <f>Perfiles_jugador[[#This Row],[market_value]]/1000000</f>
        <v>1</v>
      </c>
    </row>
    <row r="257" spans="1:6" x14ac:dyDescent="0.3">
      <c r="A257">
        <v>1067582</v>
      </c>
      <c r="B257" t="s">
        <v>262</v>
      </c>
      <c r="C257" t="s">
        <v>7</v>
      </c>
      <c r="D257" t="s">
        <v>1039</v>
      </c>
      <c r="E257">
        <v>19400000</v>
      </c>
      <c r="F257">
        <f>Perfiles_jugador[[#This Row],[market_value]]/1000000</f>
        <v>19.399999999999999</v>
      </c>
    </row>
    <row r="258" spans="1:6" x14ac:dyDescent="0.3">
      <c r="A258">
        <v>825133</v>
      </c>
      <c r="B258" t="s">
        <v>263</v>
      </c>
      <c r="C258" t="s">
        <v>7</v>
      </c>
      <c r="D258" t="s">
        <v>1039</v>
      </c>
      <c r="E258">
        <v>3400000</v>
      </c>
      <c r="F258">
        <f>Perfiles_jugador[[#This Row],[market_value]]/1000000</f>
        <v>3.4</v>
      </c>
    </row>
    <row r="259" spans="1:6" x14ac:dyDescent="0.3">
      <c r="A259">
        <v>900792</v>
      </c>
      <c r="B259" t="s">
        <v>264</v>
      </c>
      <c r="C259" t="s">
        <v>7</v>
      </c>
      <c r="D259" t="s">
        <v>1039</v>
      </c>
      <c r="E259">
        <v>2900000</v>
      </c>
      <c r="F259">
        <f>Perfiles_jugador[[#This Row],[market_value]]/1000000</f>
        <v>2.9</v>
      </c>
    </row>
    <row r="260" spans="1:6" x14ac:dyDescent="0.3">
      <c r="A260">
        <v>842419</v>
      </c>
      <c r="B260" t="s">
        <v>265</v>
      </c>
      <c r="C260" t="s">
        <v>7</v>
      </c>
      <c r="D260" t="s">
        <v>1039</v>
      </c>
      <c r="E260">
        <v>3100000</v>
      </c>
      <c r="F260">
        <f>Perfiles_jugador[[#This Row],[market_value]]/1000000</f>
        <v>3.1</v>
      </c>
    </row>
    <row r="261" spans="1:6" x14ac:dyDescent="0.3">
      <c r="A261">
        <v>1010165</v>
      </c>
      <c r="B261" t="s">
        <v>266</v>
      </c>
      <c r="C261" t="s">
        <v>7</v>
      </c>
      <c r="D261" t="s">
        <v>1039</v>
      </c>
      <c r="E261">
        <v>4400000</v>
      </c>
      <c r="F261">
        <f>Perfiles_jugador[[#This Row],[market_value]]/1000000</f>
        <v>4.4000000000000004</v>
      </c>
    </row>
    <row r="262" spans="1:6" x14ac:dyDescent="0.3">
      <c r="A262">
        <v>944225</v>
      </c>
      <c r="B262" t="s">
        <v>267</v>
      </c>
      <c r="C262" t="s">
        <v>7</v>
      </c>
      <c r="D262" t="s">
        <v>1039</v>
      </c>
      <c r="E262">
        <v>3200000</v>
      </c>
      <c r="F262">
        <f>Perfiles_jugador[[#This Row],[market_value]]/1000000</f>
        <v>3.2</v>
      </c>
    </row>
    <row r="263" spans="1:6" x14ac:dyDescent="0.3">
      <c r="A263">
        <v>897902</v>
      </c>
      <c r="B263" t="s">
        <v>268</v>
      </c>
      <c r="C263" t="s">
        <v>7</v>
      </c>
      <c r="D263" t="s">
        <v>1039</v>
      </c>
      <c r="E263">
        <v>1200000</v>
      </c>
      <c r="F263">
        <f>Perfiles_jugador[[#This Row],[market_value]]/1000000</f>
        <v>1.2</v>
      </c>
    </row>
    <row r="264" spans="1:6" x14ac:dyDescent="0.3">
      <c r="A264">
        <v>1495856</v>
      </c>
      <c r="B264" t="s">
        <v>269</v>
      </c>
      <c r="C264" t="s">
        <v>7</v>
      </c>
      <c r="D264" t="s">
        <v>1039</v>
      </c>
      <c r="E264">
        <v>530000</v>
      </c>
      <c r="F264">
        <f>Perfiles_jugador[[#This Row],[market_value]]/1000000</f>
        <v>0.53</v>
      </c>
    </row>
    <row r="265" spans="1:6" x14ac:dyDescent="0.3">
      <c r="A265">
        <v>294377</v>
      </c>
      <c r="B265" t="s">
        <v>270</v>
      </c>
      <c r="C265" t="s">
        <v>7</v>
      </c>
      <c r="D265" t="s">
        <v>1040</v>
      </c>
      <c r="E265">
        <v>2800000</v>
      </c>
      <c r="F265">
        <f>Perfiles_jugador[[#This Row],[market_value]]/1000000</f>
        <v>2.8</v>
      </c>
    </row>
    <row r="266" spans="1:6" x14ac:dyDescent="0.3">
      <c r="A266">
        <v>99516</v>
      </c>
      <c r="B266" t="s">
        <v>271</v>
      </c>
      <c r="C266" t="s">
        <v>7</v>
      </c>
      <c r="D266" t="s">
        <v>1040</v>
      </c>
      <c r="E266">
        <v>560000</v>
      </c>
      <c r="F266">
        <f>Perfiles_jugador[[#This Row],[market_value]]/1000000</f>
        <v>0.56000000000000005</v>
      </c>
    </row>
    <row r="267" spans="1:6" x14ac:dyDescent="0.3">
      <c r="A267">
        <v>877037</v>
      </c>
      <c r="B267" t="s">
        <v>272</v>
      </c>
      <c r="C267" t="s">
        <v>7</v>
      </c>
      <c r="D267" t="s">
        <v>1037</v>
      </c>
      <c r="E267">
        <v>7800000</v>
      </c>
      <c r="F267">
        <f>Perfiles_jugador[[#This Row],[market_value]]/1000000</f>
        <v>7.8</v>
      </c>
    </row>
    <row r="268" spans="1:6" x14ac:dyDescent="0.3">
      <c r="A268">
        <v>84972</v>
      </c>
      <c r="B268" t="s">
        <v>273</v>
      </c>
      <c r="C268" t="s">
        <v>7</v>
      </c>
      <c r="D268" t="s">
        <v>1037</v>
      </c>
      <c r="E268">
        <v>825000</v>
      </c>
      <c r="F268">
        <f>Perfiles_jugador[[#This Row],[market_value]]/1000000</f>
        <v>0.82499999999999996</v>
      </c>
    </row>
    <row r="269" spans="1:6" x14ac:dyDescent="0.3">
      <c r="A269">
        <v>758664</v>
      </c>
      <c r="B269" t="s">
        <v>274</v>
      </c>
      <c r="C269" t="s">
        <v>7</v>
      </c>
      <c r="D269" t="s">
        <v>1038</v>
      </c>
      <c r="E269">
        <v>2700000</v>
      </c>
      <c r="F269">
        <f>Perfiles_jugador[[#This Row],[market_value]]/1000000</f>
        <v>2.7</v>
      </c>
    </row>
    <row r="270" spans="1:6" x14ac:dyDescent="0.3">
      <c r="A270">
        <v>891511</v>
      </c>
      <c r="B270" t="s">
        <v>275</v>
      </c>
      <c r="C270" t="s">
        <v>7</v>
      </c>
      <c r="D270" t="s">
        <v>1038</v>
      </c>
      <c r="E270">
        <v>9300000</v>
      </c>
      <c r="F270">
        <f>Perfiles_jugador[[#This Row],[market_value]]/1000000</f>
        <v>9.3000000000000007</v>
      </c>
    </row>
    <row r="271" spans="1:6" x14ac:dyDescent="0.3">
      <c r="A271">
        <v>877262</v>
      </c>
      <c r="B271" t="s">
        <v>276</v>
      </c>
      <c r="C271" t="s">
        <v>7</v>
      </c>
      <c r="D271" t="s">
        <v>1038</v>
      </c>
      <c r="E271">
        <v>3600000</v>
      </c>
      <c r="F271">
        <f>Perfiles_jugador[[#This Row],[market_value]]/1000000</f>
        <v>3.6</v>
      </c>
    </row>
    <row r="272" spans="1:6" x14ac:dyDescent="0.3">
      <c r="A272">
        <v>175185</v>
      </c>
      <c r="B272" t="s">
        <v>277</v>
      </c>
      <c r="C272" t="s">
        <v>7</v>
      </c>
      <c r="D272" t="s">
        <v>1038</v>
      </c>
      <c r="E272">
        <v>1200000</v>
      </c>
      <c r="F272">
        <f>Perfiles_jugador[[#This Row],[market_value]]/1000000</f>
        <v>1.2</v>
      </c>
    </row>
    <row r="273" spans="1:6" x14ac:dyDescent="0.3">
      <c r="A273">
        <v>1063015</v>
      </c>
      <c r="B273" t="s">
        <v>278</v>
      </c>
      <c r="C273" t="s">
        <v>7</v>
      </c>
      <c r="D273" t="s">
        <v>1038</v>
      </c>
      <c r="E273">
        <v>10800000</v>
      </c>
      <c r="F273">
        <f>Perfiles_jugador[[#This Row],[market_value]]/1000000</f>
        <v>10.8</v>
      </c>
    </row>
    <row r="274" spans="1:6" x14ac:dyDescent="0.3">
      <c r="A274">
        <v>826010</v>
      </c>
      <c r="B274" t="s">
        <v>279</v>
      </c>
      <c r="C274" t="s">
        <v>7</v>
      </c>
      <c r="D274" t="s">
        <v>1038</v>
      </c>
      <c r="E274">
        <v>5800000</v>
      </c>
      <c r="F274">
        <f>Perfiles_jugador[[#This Row],[market_value]]/1000000</f>
        <v>5.8</v>
      </c>
    </row>
    <row r="275" spans="1:6" x14ac:dyDescent="0.3">
      <c r="A275">
        <v>1088565</v>
      </c>
      <c r="B275" t="s">
        <v>280</v>
      </c>
      <c r="C275" t="s">
        <v>7</v>
      </c>
      <c r="D275" t="s">
        <v>1038</v>
      </c>
      <c r="E275">
        <v>3200000</v>
      </c>
      <c r="F275">
        <f>Perfiles_jugador[[#This Row],[market_value]]/1000000</f>
        <v>3.2</v>
      </c>
    </row>
    <row r="276" spans="1:6" x14ac:dyDescent="0.3">
      <c r="A276">
        <v>1064009</v>
      </c>
      <c r="B276" t="s">
        <v>281</v>
      </c>
      <c r="C276" t="s">
        <v>7</v>
      </c>
      <c r="D276" t="s">
        <v>1038</v>
      </c>
      <c r="E276">
        <v>4900000</v>
      </c>
      <c r="F276">
        <f>Perfiles_jugador[[#This Row],[market_value]]/1000000</f>
        <v>4.9000000000000004</v>
      </c>
    </row>
    <row r="277" spans="1:6" x14ac:dyDescent="0.3">
      <c r="A277">
        <v>1019236</v>
      </c>
      <c r="B277" t="s">
        <v>282</v>
      </c>
      <c r="C277" t="s">
        <v>7</v>
      </c>
      <c r="D277" t="s">
        <v>1038</v>
      </c>
      <c r="E277">
        <v>2800000</v>
      </c>
      <c r="F277">
        <f>Perfiles_jugador[[#This Row],[market_value]]/1000000</f>
        <v>2.8</v>
      </c>
    </row>
    <row r="278" spans="1:6" x14ac:dyDescent="0.3">
      <c r="A278">
        <v>1099344</v>
      </c>
      <c r="B278" t="s">
        <v>283</v>
      </c>
      <c r="C278" t="s">
        <v>7</v>
      </c>
      <c r="D278" t="s">
        <v>1038</v>
      </c>
      <c r="E278">
        <v>1600000</v>
      </c>
      <c r="F278">
        <f>Perfiles_jugador[[#This Row],[market_value]]/1000000</f>
        <v>1.6</v>
      </c>
    </row>
    <row r="279" spans="1:6" x14ac:dyDescent="0.3">
      <c r="A279">
        <v>1064026</v>
      </c>
      <c r="B279" t="s">
        <v>284</v>
      </c>
      <c r="C279" t="s">
        <v>7</v>
      </c>
      <c r="D279" t="s">
        <v>1039</v>
      </c>
      <c r="E279">
        <v>15900000</v>
      </c>
      <c r="F279">
        <f>Perfiles_jugador[[#This Row],[market_value]]/1000000</f>
        <v>15.9</v>
      </c>
    </row>
    <row r="280" spans="1:6" x14ac:dyDescent="0.3">
      <c r="A280">
        <v>1396048</v>
      </c>
      <c r="B280" t="s">
        <v>285</v>
      </c>
      <c r="C280" t="s">
        <v>7</v>
      </c>
      <c r="D280" t="s">
        <v>1039</v>
      </c>
      <c r="E280">
        <v>24000000</v>
      </c>
      <c r="F280">
        <f>Perfiles_jugador[[#This Row],[market_value]]/1000000</f>
        <v>24</v>
      </c>
    </row>
    <row r="281" spans="1:6" x14ac:dyDescent="0.3">
      <c r="A281">
        <v>81992</v>
      </c>
      <c r="B281" t="s">
        <v>286</v>
      </c>
      <c r="C281" t="s">
        <v>7</v>
      </c>
      <c r="D281" t="s">
        <v>1039</v>
      </c>
      <c r="E281">
        <v>1000000</v>
      </c>
      <c r="F281">
        <f>Perfiles_jugador[[#This Row],[market_value]]/1000000</f>
        <v>1</v>
      </c>
    </row>
    <row r="282" spans="1:6" x14ac:dyDescent="0.3">
      <c r="A282">
        <v>1129360</v>
      </c>
      <c r="B282" t="s">
        <v>287</v>
      </c>
      <c r="C282" t="s">
        <v>7</v>
      </c>
      <c r="D282" t="s">
        <v>1039</v>
      </c>
      <c r="E282">
        <v>4800000</v>
      </c>
      <c r="F282">
        <f>Perfiles_jugador[[#This Row],[market_value]]/1000000</f>
        <v>4.8</v>
      </c>
    </row>
    <row r="283" spans="1:6" x14ac:dyDescent="0.3">
      <c r="A283">
        <v>857205</v>
      </c>
      <c r="B283" t="s">
        <v>288</v>
      </c>
      <c r="C283" t="s">
        <v>7</v>
      </c>
      <c r="D283" t="s">
        <v>1039</v>
      </c>
      <c r="E283">
        <v>2100000</v>
      </c>
      <c r="F283">
        <f>Perfiles_jugador[[#This Row],[market_value]]/1000000</f>
        <v>2.1</v>
      </c>
    </row>
    <row r="284" spans="1:6" x14ac:dyDescent="0.3">
      <c r="A284">
        <v>1068891</v>
      </c>
      <c r="B284" t="s">
        <v>289</v>
      </c>
      <c r="C284" t="s">
        <v>7</v>
      </c>
      <c r="D284" t="s">
        <v>1039</v>
      </c>
      <c r="E284">
        <v>2500000</v>
      </c>
      <c r="F284">
        <f>Perfiles_jugador[[#This Row],[market_value]]/1000000</f>
        <v>2.5</v>
      </c>
    </row>
    <row r="285" spans="1:6" x14ac:dyDescent="0.3">
      <c r="A285">
        <v>934351</v>
      </c>
      <c r="B285" t="s">
        <v>290</v>
      </c>
      <c r="C285" t="s">
        <v>7</v>
      </c>
      <c r="D285" t="s">
        <v>1039</v>
      </c>
      <c r="E285">
        <v>1900000</v>
      </c>
      <c r="F285">
        <f>Perfiles_jugador[[#This Row],[market_value]]/1000000</f>
        <v>1.9</v>
      </c>
    </row>
    <row r="286" spans="1:6" x14ac:dyDescent="0.3">
      <c r="A286">
        <v>1021165</v>
      </c>
      <c r="B286" t="s">
        <v>291</v>
      </c>
      <c r="C286" t="s">
        <v>7</v>
      </c>
      <c r="D286" t="s">
        <v>1039</v>
      </c>
      <c r="E286">
        <v>1400000</v>
      </c>
      <c r="F286">
        <f>Perfiles_jugador[[#This Row],[market_value]]/1000000</f>
        <v>1.4</v>
      </c>
    </row>
    <row r="287" spans="1:6" x14ac:dyDescent="0.3">
      <c r="A287">
        <v>1870032</v>
      </c>
      <c r="B287" t="s">
        <v>292</v>
      </c>
      <c r="C287" t="s">
        <v>7</v>
      </c>
      <c r="D287" t="s">
        <v>1039</v>
      </c>
      <c r="E287">
        <v>23000</v>
      </c>
      <c r="F287">
        <f>Perfiles_jugador[[#This Row],[market_value]]/1000000</f>
        <v>2.3E-2</v>
      </c>
    </row>
    <row r="288" spans="1:6" x14ac:dyDescent="0.3">
      <c r="A288">
        <v>94527</v>
      </c>
      <c r="B288" t="s">
        <v>293</v>
      </c>
      <c r="C288" t="s">
        <v>7</v>
      </c>
      <c r="D288" t="s">
        <v>1040</v>
      </c>
      <c r="E288">
        <v>740000</v>
      </c>
      <c r="F288">
        <f>Perfiles_jugador[[#This Row],[market_value]]/1000000</f>
        <v>0.74</v>
      </c>
    </row>
    <row r="289" spans="1:6" x14ac:dyDescent="0.3">
      <c r="A289">
        <v>1082734</v>
      </c>
      <c r="B289" t="s">
        <v>294</v>
      </c>
      <c r="C289" t="s">
        <v>7</v>
      </c>
      <c r="D289" t="s">
        <v>1040</v>
      </c>
      <c r="E289">
        <v>290000</v>
      </c>
      <c r="F289">
        <f>Perfiles_jugador[[#This Row],[market_value]]/1000000</f>
        <v>0.28999999999999998</v>
      </c>
    </row>
    <row r="290" spans="1:6" x14ac:dyDescent="0.3">
      <c r="A290">
        <v>962624</v>
      </c>
      <c r="B290" t="s">
        <v>295</v>
      </c>
      <c r="C290" t="s">
        <v>7</v>
      </c>
      <c r="D290" t="s">
        <v>1040</v>
      </c>
      <c r="E290">
        <v>52000</v>
      </c>
      <c r="F290">
        <f>Perfiles_jugador[[#This Row],[market_value]]/1000000</f>
        <v>5.1999999999999998E-2</v>
      </c>
    </row>
    <row r="291" spans="1:6" x14ac:dyDescent="0.3">
      <c r="A291">
        <v>962029</v>
      </c>
      <c r="B291" t="s">
        <v>296</v>
      </c>
      <c r="C291" t="s">
        <v>7</v>
      </c>
      <c r="D291" t="s">
        <v>1037</v>
      </c>
      <c r="E291">
        <v>8400000</v>
      </c>
      <c r="F291">
        <f>Perfiles_jugador[[#This Row],[market_value]]/1000000</f>
        <v>8.4</v>
      </c>
    </row>
    <row r="292" spans="1:6" x14ac:dyDescent="0.3">
      <c r="A292">
        <v>827064</v>
      </c>
      <c r="B292" t="s">
        <v>297</v>
      </c>
      <c r="C292" t="s">
        <v>7</v>
      </c>
      <c r="D292" t="s">
        <v>1037</v>
      </c>
      <c r="E292">
        <v>3800000</v>
      </c>
      <c r="F292">
        <f>Perfiles_jugador[[#This Row],[market_value]]/1000000</f>
        <v>3.8</v>
      </c>
    </row>
    <row r="293" spans="1:6" x14ac:dyDescent="0.3">
      <c r="A293">
        <v>754710</v>
      </c>
      <c r="B293" t="s">
        <v>298</v>
      </c>
      <c r="C293" t="s">
        <v>7</v>
      </c>
      <c r="D293" t="s">
        <v>1037</v>
      </c>
      <c r="E293">
        <v>3900000</v>
      </c>
      <c r="F293">
        <f>Perfiles_jugador[[#This Row],[market_value]]/1000000</f>
        <v>3.9</v>
      </c>
    </row>
    <row r="294" spans="1:6" x14ac:dyDescent="0.3">
      <c r="A294">
        <v>909119</v>
      </c>
      <c r="B294" t="s">
        <v>299</v>
      </c>
      <c r="C294" t="s">
        <v>7</v>
      </c>
      <c r="D294" t="s">
        <v>1037</v>
      </c>
      <c r="E294">
        <v>11600000</v>
      </c>
      <c r="F294">
        <f>Perfiles_jugador[[#This Row],[market_value]]/1000000</f>
        <v>11.6</v>
      </c>
    </row>
    <row r="295" spans="1:6" x14ac:dyDescent="0.3">
      <c r="A295">
        <v>909966</v>
      </c>
      <c r="B295" t="s">
        <v>300</v>
      </c>
      <c r="C295" t="s">
        <v>7</v>
      </c>
      <c r="D295" t="s">
        <v>1037</v>
      </c>
      <c r="E295">
        <v>5600000</v>
      </c>
      <c r="F295">
        <f>Perfiles_jugador[[#This Row],[market_value]]/1000000</f>
        <v>5.6</v>
      </c>
    </row>
    <row r="296" spans="1:6" x14ac:dyDescent="0.3">
      <c r="A296">
        <v>873947</v>
      </c>
      <c r="B296" t="s">
        <v>301</v>
      </c>
      <c r="C296" t="s">
        <v>7</v>
      </c>
      <c r="D296" t="s">
        <v>1037</v>
      </c>
      <c r="E296">
        <v>2500000</v>
      </c>
      <c r="F296">
        <f>Perfiles_jugador[[#This Row],[market_value]]/1000000</f>
        <v>2.5</v>
      </c>
    </row>
    <row r="297" spans="1:6" x14ac:dyDescent="0.3">
      <c r="A297">
        <v>609752</v>
      </c>
      <c r="B297" t="s">
        <v>302</v>
      </c>
      <c r="C297" t="s">
        <v>7</v>
      </c>
      <c r="D297" t="s">
        <v>1038</v>
      </c>
      <c r="E297">
        <v>6200000</v>
      </c>
      <c r="F297">
        <f>Perfiles_jugador[[#This Row],[market_value]]/1000000</f>
        <v>6.2</v>
      </c>
    </row>
    <row r="298" spans="1:6" x14ac:dyDescent="0.3">
      <c r="A298">
        <v>1122610</v>
      </c>
      <c r="B298" t="s">
        <v>303</v>
      </c>
      <c r="C298" t="s">
        <v>7</v>
      </c>
      <c r="D298" t="s">
        <v>1038</v>
      </c>
      <c r="E298">
        <v>26000000</v>
      </c>
      <c r="F298">
        <f>Perfiles_jugador[[#This Row],[market_value]]/1000000</f>
        <v>26</v>
      </c>
    </row>
    <row r="299" spans="1:6" x14ac:dyDescent="0.3">
      <c r="A299">
        <v>826948</v>
      </c>
      <c r="B299" t="s">
        <v>304</v>
      </c>
      <c r="C299" t="s">
        <v>7</v>
      </c>
      <c r="D299" t="s">
        <v>1038</v>
      </c>
      <c r="E299">
        <v>8199999</v>
      </c>
      <c r="F299">
        <f>Perfiles_jugador[[#This Row],[market_value]]/1000000</f>
        <v>8.199999</v>
      </c>
    </row>
    <row r="300" spans="1:6" x14ac:dyDescent="0.3">
      <c r="A300">
        <v>998950</v>
      </c>
      <c r="B300" t="s">
        <v>305</v>
      </c>
      <c r="C300" t="s">
        <v>7</v>
      </c>
      <c r="D300" t="s">
        <v>1038</v>
      </c>
      <c r="E300">
        <v>16000000</v>
      </c>
      <c r="F300">
        <f>Perfiles_jugador[[#This Row],[market_value]]/1000000</f>
        <v>16</v>
      </c>
    </row>
    <row r="301" spans="1:6" x14ac:dyDescent="0.3">
      <c r="A301">
        <v>845693</v>
      </c>
      <c r="B301" t="s">
        <v>306</v>
      </c>
      <c r="C301" t="s">
        <v>7</v>
      </c>
      <c r="D301" t="s">
        <v>1038</v>
      </c>
      <c r="E301">
        <v>9300000</v>
      </c>
      <c r="F301">
        <f>Perfiles_jugador[[#This Row],[market_value]]/1000000</f>
        <v>9.3000000000000007</v>
      </c>
    </row>
    <row r="302" spans="1:6" x14ac:dyDescent="0.3">
      <c r="A302">
        <v>900433</v>
      </c>
      <c r="B302" t="s">
        <v>307</v>
      </c>
      <c r="C302" t="s">
        <v>7</v>
      </c>
      <c r="D302" t="s">
        <v>1038</v>
      </c>
      <c r="E302">
        <v>2100000</v>
      </c>
      <c r="F302">
        <f>Perfiles_jugador[[#This Row],[market_value]]/1000000</f>
        <v>2.1</v>
      </c>
    </row>
    <row r="303" spans="1:6" x14ac:dyDescent="0.3">
      <c r="A303">
        <v>857482</v>
      </c>
      <c r="B303" t="s">
        <v>308</v>
      </c>
      <c r="C303" t="s">
        <v>7</v>
      </c>
      <c r="D303" t="s">
        <v>1038</v>
      </c>
      <c r="E303">
        <v>5700000</v>
      </c>
      <c r="F303">
        <f>Perfiles_jugador[[#This Row],[market_value]]/1000000</f>
        <v>5.7</v>
      </c>
    </row>
    <row r="304" spans="1:6" x14ac:dyDescent="0.3">
      <c r="A304">
        <v>344751</v>
      </c>
      <c r="B304" t="s">
        <v>309</v>
      </c>
      <c r="C304" t="s">
        <v>7</v>
      </c>
      <c r="D304" t="s">
        <v>1038</v>
      </c>
      <c r="E304">
        <v>4700000</v>
      </c>
      <c r="F304">
        <f>Perfiles_jugador[[#This Row],[market_value]]/1000000</f>
        <v>4.7</v>
      </c>
    </row>
    <row r="305" spans="1:6" x14ac:dyDescent="0.3">
      <c r="A305">
        <v>797306</v>
      </c>
      <c r="B305" t="s">
        <v>310</v>
      </c>
      <c r="C305" t="s">
        <v>7</v>
      </c>
      <c r="D305" t="s">
        <v>1039</v>
      </c>
      <c r="E305">
        <v>2900000</v>
      </c>
      <c r="F305">
        <f>Perfiles_jugador[[#This Row],[market_value]]/1000000</f>
        <v>2.9</v>
      </c>
    </row>
    <row r="306" spans="1:6" x14ac:dyDescent="0.3">
      <c r="A306">
        <v>227922</v>
      </c>
      <c r="B306" t="s">
        <v>311</v>
      </c>
      <c r="C306" t="s">
        <v>7</v>
      </c>
      <c r="D306" t="s">
        <v>1039</v>
      </c>
      <c r="E306">
        <v>5400000</v>
      </c>
      <c r="F306">
        <f>Perfiles_jugador[[#This Row],[market_value]]/1000000</f>
        <v>5.4</v>
      </c>
    </row>
    <row r="307" spans="1:6" x14ac:dyDescent="0.3">
      <c r="A307">
        <v>315916</v>
      </c>
      <c r="B307" t="s">
        <v>312</v>
      </c>
      <c r="C307" t="s">
        <v>7</v>
      </c>
      <c r="D307" t="s">
        <v>1039</v>
      </c>
      <c r="E307">
        <v>1400000</v>
      </c>
      <c r="F307">
        <f>Perfiles_jugador[[#This Row],[market_value]]/1000000</f>
        <v>1.4</v>
      </c>
    </row>
    <row r="308" spans="1:6" x14ac:dyDescent="0.3">
      <c r="A308">
        <v>892521</v>
      </c>
      <c r="B308" t="s">
        <v>313</v>
      </c>
      <c r="C308" t="s">
        <v>7</v>
      </c>
      <c r="D308" t="s">
        <v>1039</v>
      </c>
      <c r="E308">
        <v>3300000</v>
      </c>
      <c r="F308">
        <f>Perfiles_jugador[[#This Row],[market_value]]/1000000</f>
        <v>3.3</v>
      </c>
    </row>
    <row r="309" spans="1:6" x14ac:dyDescent="0.3">
      <c r="A309">
        <v>996928</v>
      </c>
      <c r="B309" t="s">
        <v>314</v>
      </c>
      <c r="C309" t="s">
        <v>7</v>
      </c>
      <c r="D309" t="s">
        <v>1039</v>
      </c>
      <c r="E309">
        <v>15500000</v>
      </c>
      <c r="F309">
        <f>Perfiles_jugador[[#This Row],[market_value]]/1000000</f>
        <v>15.5</v>
      </c>
    </row>
    <row r="310" spans="1:6" x14ac:dyDescent="0.3">
      <c r="A310">
        <v>851282</v>
      </c>
      <c r="B310" t="s">
        <v>315</v>
      </c>
      <c r="C310" t="s">
        <v>7</v>
      </c>
      <c r="D310" t="s">
        <v>1039</v>
      </c>
      <c r="E310">
        <v>3100000</v>
      </c>
      <c r="F310">
        <f>Perfiles_jugador[[#This Row],[market_value]]/1000000</f>
        <v>3.1</v>
      </c>
    </row>
    <row r="311" spans="1:6" x14ac:dyDescent="0.3">
      <c r="A311">
        <v>814023</v>
      </c>
      <c r="B311" t="s">
        <v>316</v>
      </c>
      <c r="C311" t="s">
        <v>7</v>
      </c>
      <c r="D311" t="s">
        <v>1039</v>
      </c>
      <c r="E311">
        <v>2200000</v>
      </c>
      <c r="F311">
        <f>Perfiles_jugador[[#This Row],[market_value]]/1000000</f>
        <v>2.2000000000000002</v>
      </c>
    </row>
    <row r="312" spans="1:6" x14ac:dyDescent="0.3">
      <c r="A312">
        <v>151138</v>
      </c>
      <c r="B312" t="s">
        <v>317</v>
      </c>
      <c r="C312" t="s">
        <v>7</v>
      </c>
      <c r="D312" t="s">
        <v>1039</v>
      </c>
      <c r="E312">
        <v>1300000</v>
      </c>
      <c r="F312">
        <f>Perfiles_jugador[[#This Row],[market_value]]/1000000</f>
        <v>1.3</v>
      </c>
    </row>
    <row r="313" spans="1:6" x14ac:dyDescent="0.3">
      <c r="A313">
        <v>996929</v>
      </c>
      <c r="B313" t="s">
        <v>318</v>
      </c>
      <c r="C313" t="s">
        <v>7</v>
      </c>
      <c r="D313" t="s">
        <v>1039</v>
      </c>
      <c r="E313">
        <v>3200000</v>
      </c>
      <c r="F313">
        <f>Perfiles_jugador[[#This Row],[market_value]]/1000000</f>
        <v>3.2</v>
      </c>
    </row>
    <row r="314" spans="1:6" x14ac:dyDescent="0.3">
      <c r="A314">
        <v>913695</v>
      </c>
      <c r="B314" t="s">
        <v>319</v>
      </c>
      <c r="C314" t="s">
        <v>7</v>
      </c>
      <c r="D314" t="s">
        <v>1039</v>
      </c>
      <c r="E314">
        <v>3600000</v>
      </c>
      <c r="F314">
        <f>Perfiles_jugador[[#This Row],[market_value]]/1000000</f>
        <v>3.6</v>
      </c>
    </row>
    <row r="315" spans="1:6" x14ac:dyDescent="0.3">
      <c r="A315">
        <v>1614476</v>
      </c>
      <c r="B315" t="s">
        <v>320</v>
      </c>
      <c r="C315" t="s">
        <v>7</v>
      </c>
      <c r="D315" t="s">
        <v>1039</v>
      </c>
      <c r="E315">
        <v>23000</v>
      </c>
      <c r="F315">
        <f>Perfiles_jugador[[#This Row],[market_value]]/1000000</f>
        <v>2.3E-2</v>
      </c>
    </row>
    <row r="316" spans="1:6" x14ac:dyDescent="0.3">
      <c r="A316">
        <v>1014412</v>
      </c>
      <c r="B316" t="s">
        <v>321</v>
      </c>
      <c r="C316" t="s">
        <v>7</v>
      </c>
      <c r="D316" t="s">
        <v>1040</v>
      </c>
      <c r="E316">
        <v>16300000</v>
      </c>
      <c r="F316">
        <f>Perfiles_jugador[[#This Row],[market_value]]/1000000</f>
        <v>16.3</v>
      </c>
    </row>
    <row r="317" spans="1:6" x14ac:dyDescent="0.3">
      <c r="A317">
        <v>97951</v>
      </c>
      <c r="B317" t="s">
        <v>322</v>
      </c>
      <c r="C317" t="s">
        <v>7</v>
      </c>
      <c r="D317" t="s">
        <v>1040</v>
      </c>
      <c r="E317">
        <v>2100000</v>
      </c>
      <c r="F317">
        <f>Perfiles_jugador[[#This Row],[market_value]]/1000000</f>
        <v>2.1</v>
      </c>
    </row>
    <row r="318" spans="1:6" x14ac:dyDescent="0.3">
      <c r="A318">
        <v>914744</v>
      </c>
      <c r="B318" t="s">
        <v>323</v>
      </c>
      <c r="C318" t="s">
        <v>7</v>
      </c>
      <c r="D318" t="s">
        <v>1040</v>
      </c>
      <c r="E318">
        <v>94000</v>
      </c>
      <c r="F318">
        <f>Perfiles_jugador[[#This Row],[market_value]]/1000000</f>
        <v>9.4E-2</v>
      </c>
    </row>
    <row r="319" spans="1:6" x14ac:dyDescent="0.3">
      <c r="A319">
        <v>1464650</v>
      </c>
      <c r="B319" t="s">
        <v>324</v>
      </c>
      <c r="C319" t="s">
        <v>7</v>
      </c>
      <c r="D319" t="s">
        <v>1040</v>
      </c>
      <c r="E319">
        <v>205000</v>
      </c>
      <c r="F319">
        <f>Perfiles_jugador[[#This Row],[market_value]]/1000000</f>
        <v>0.20499999999999999</v>
      </c>
    </row>
    <row r="320" spans="1:6" x14ac:dyDescent="0.3">
      <c r="A320">
        <v>976374</v>
      </c>
      <c r="B320" t="s">
        <v>325</v>
      </c>
      <c r="C320" t="s">
        <v>7</v>
      </c>
      <c r="D320" t="s">
        <v>1037</v>
      </c>
      <c r="E320">
        <v>13900000</v>
      </c>
      <c r="F320">
        <f>Perfiles_jugador[[#This Row],[market_value]]/1000000</f>
        <v>13.9</v>
      </c>
    </row>
    <row r="321" spans="1:6" x14ac:dyDescent="0.3">
      <c r="A321">
        <v>32048</v>
      </c>
      <c r="B321" t="s">
        <v>326</v>
      </c>
      <c r="C321" t="s">
        <v>7</v>
      </c>
      <c r="D321" t="s">
        <v>1037</v>
      </c>
      <c r="E321">
        <v>835000</v>
      </c>
      <c r="F321">
        <f>Perfiles_jugador[[#This Row],[market_value]]/1000000</f>
        <v>0.83499999999999996</v>
      </c>
    </row>
    <row r="322" spans="1:6" x14ac:dyDescent="0.3">
      <c r="A322">
        <v>826013</v>
      </c>
      <c r="B322" t="s">
        <v>327</v>
      </c>
      <c r="C322" t="s">
        <v>7</v>
      </c>
      <c r="D322" t="s">
        <v>1037</v>
      </c>
      <c r="E322">
        <v>2800000</v>
      </c>
      <c r="F322">
        <f>Perfiles_jugador[[#This Row],[market_value]]/1000000</f>
        <v>2.8</v>
      </c>
    </row>
    <row r="323" spans="1:6" x14ac:dyDescent="0.3">
      <c r="A323">
        <v>218616</v>
      </c>
      <c r="B323" t="s">
        <v>328</v>
      </c>
      <c r="C323" t="s">
        <v>7</v>
      </c>
      <c r="D323" t="s">
        <v>1037</v>
      </c>
      <c r="E323">
        <v>1600000</v>
      </c>
      <c r="F323">
        <f>Perfiles_jugador[[#This Row],[market_value]]/1000000</f>
        <v>1.6</v>
      </c>
    </row>
    <row r="324" spans="1:6" x14ac:dyDescent="0.3">
      <c r="A324">
        <v>1482424</v>
      </c>
      <c r="B324" t="s">
        <v>329</v>
      </c>
      <c r="C324" t="s">
        <v>7</v>
      </c>
      <c r="D324" t="s">
        <v>1038</v>
      </c>
      <c r="E324">
        <v>14300000</v>
      </c>
      <c r="F324">
        <f>Perfiles_jugador[[#This Row],[market_value]]/1000000</f>
        <v>14.3</v>
      </c>
    </row>
    <row r="325" spans="1:6" x14ac:dyDescent="0.3">
      <c r="A325">
        <v>991421</v>
      </c>
      <c r="B325" t="s">
        <v>330</v>
      </c>
      <c r="C325" t="s">
        <v>7</v>
      </c>
      <c r="D325" t="s">
        <v>1038</v>
      </c>
      <c r="E325">
        <v>10300000</v>
      </c>
      <c r="F325">
        <f>Perfiles_jugador[[#This Row],[market_value]]/1000000</f>
        <v>10.3</v>
      </c>
    </row>
    <row r="326" spans="1:6" x14ac:dyDescent="0.3">
      <c r="A326">
        <v>35612</v>
      </c>
      <c r="B326" t="s">
        <v>331</v>
      </c>
      <c r="C326" t="s">
        <v>7</v>
      </c>
      <c r="D326" t="s">
        <v>1038</v>
      </c>
      <c r="E326">
        <v>1500000</v>
      </c>
      <c r="F326">
        <f>Perfiles_jugador[[#This Row],[market_value]]/1000000</f>
        <v>1.5</v>
      </c>
    </row>
    <row r="327" spans="1:6" x14ac:dyDescent="0.3">
      <c r="A327">
        <v>361790</v>
      </c>
      <c r="B327" t="s">
        <v>332</v>
      </c>
      <c r="C327" t="s">
        <v>7</v>
      </c>
      <c r="D327" t="s">
        <v>1038</v>
      </c>
      <c r="E327">
        <v>2100000</v>
      </c>
      <c r="F327">
        <f>Perfiles_jugador[[#This Row],[market_value]]/1000000</f>
        <v>2.1</v>
      </c>
    </row>
    <row r="328" spans="1:6" x14ac:dyDescent="0.3">
      <c r="A328">
        <v>191182</v>
      </c>
      <c r="B328" t="s">
        <v>333</v>
      </c>
      <c r="C328" t="s">
        <v>7</v>
      </c>
      <c r="D328" t="s">
        <v>1038</v>
      </c>
      <c r="E328">
        <v>2100000</v>
      </c>
      <c r="F328">
        <f>Perfiles_jugador[[#This Row],[market_value]]/1000000</f>
        <v>2.1</v>
      </c>
    </row>
    <row r="329" spans="1:6" x14ac:dyDescent="0.3">
      <c r="A329">
        <v>319735</v>
      </c>
      <c r="B329" t="s">
        <v>334</v>
      </c>
      <c r="C329" t="s">
        <v>7</v>
      </c>
      <c r="D329" t="s">
        <v>1038</v>
      </c>
      <c r="E329">
        <v>15700000</v>
      </c>
      <c r="F329">
        <f>Perfiles_jugador[[#This Row],[market_value]]/1000000</f>
        <v>15.7</v>
      </c>
    </row>
    <row r="330" spans="1:6" x14ac:dyDescent="0.3">
      <c r="A330">
        <v>910026</v>
      </c>
      <c r="B330" t="s">
        <v>335</v>
      </c>
      <c r="C330" t="s">
        <v>7</v>
      </c>
      <c r="D330" t="s">
        <v>1038</v>
      </c>
      <c r="E330">
        <v>12400000</v>
      </c>
      <c r="F330">
        <f>Perfiles_jugador[[#This Row],[market_value]]/1000000</f>
        <v>12.4</v>
      </c>
    </row>
    <row r="331" spans="1:6" x14ac:dyDescent="0.3">
      <c r="A331">
        <v>973699</v>
      </c>
      <c r="B331" t="s">
        <v>336</v>
      </c>
      <c r="C331" t="s">
        <v>7</v>
      </c>
      <c r="D331" t="s">
        <v>1038</v>
      </c>
      <c r="E331">
        <v>5500000</v>
      </c>
      <c r="F331">
        <f>Perfiles_jugador[[#This Row],[market_value]]/1000000</f>
        <v>5.5</v>
      </c>
    </row>
    <row r="332" spans="1:6" x14ac:dyDescent="0.3">
      <c r="A332">
        <v>835484</v>
      </c>
      <c r="B332" t="s">
        <v>337</v>
      </c>
      <c r="C332" t="s">
        <v>7</v>
      </c>
      <c r="D332" t="s">
        <v>1038</v>
      </c>
      <c r="E332">
        <v>5200000</v>
      </c>
      <c r="F332">
        <f>Perfiles_jugador[[#This Row],[market_value]]/1000000</f>
        <v>5.2</v>
      </c>
    </row>
    <row r="333" spans="1:6" x14ac:dyDescent="0.3">
      <c r="A333">
        <v>1860172</v>
      </c>
      <c r="B333" t="s">
        <v>338</v>
      </c>
      <c r="C333" t="s">
        <v>7</v>
      </c>
      <c r="D333" t="s">
        <v>1038</v>
      </c>
      <c r="E333">
        <v>520000</v>
      </c>
      <c r="F333">
        <f>Perfiles_jugador[[#This Row],[market_value]]/1000000</f>
        <v>0.52</v>
      </c>
    </row>
    <row r="334" spans="1:6" x14ac:dyDescent="0.3">
      <c r="A334">
        <v>1391616</v>
      </c>
      <c r="B334" t="s">
        <v>339</v>
      </c>
      <c r="C334" t="s">
        <v>7</v>
      </c>
      <c r="D334" t="s">
        <v>1038</v>
      </c>
      <c r="E334">
        <v>5200000</v>
      </c>
      <c r="F334">
        <f>Perfiles_jugador[[#This Row],[market_value]]/1000000</f>
        <v>5.2</v>
      </c>
    </row>
    <row r="335" spans="1:6" x14ac:dyDescent="0.3">
      <c r="A335">
        <v>1485300</v>
      </c>
      <c r="B335" t="s">
        <v>340</v>
      </c>
      <c r="C335" t="s">
        <v>7</v>
      </c>
      <c r="D335" t="s">
        <v>1039</v>
      </c>
      <c r="E335">
        <v>31000000</v>
      </c>
      <c r="F335">
        <f>Perfiles_jugador[[#This Row],[market_value]]/1000000</f>
        <v>31</v>
      </c>
    </row>
    <row r="336" spans="1:6" x14ac:dyDescent="0.3">
      <c r="A336">
        <v>44864</v>
      </c>
      <c r="B336" t="s">
        <v>341</v>
      </c>
      <c r="C336" t="s">
        <v>7</v>
      </c>
      <c r="D336" t="s">
        <v>1039</v>
      </c>
      <c r="E336">
        <v>1500000</v>
      </c>
      <c r="F336">
        <f>Perfiles_jugador[[#This Row],[market_value]]/1000000</f>
        <v>1.5</v>
      </c>
    </row>
    <row r="337" spans="1:6" x14ac:dyDescent="0.3">
      <c r="A337">
        <v>1084081</v>
      </c>
      <c r="B337" t="s">
        <v>342</v>
      </c>
      <c r="C337" t="s">
        <v>7</v>
      </c>
      <c r="D337" t="s">
        <v>1039</v>
      </c>
      <c r="E337">
        <v>10800000</v>
      </c>
      <c r="F337">
        <f>Perfiles_jugador[[#This Row],[market_value]]/1000000</f>
        <v>10.8</v>
      </c>
    </row>
    <row r="338" spans="1:6" x14ac:dyDescent="0.3">
      <c r="A338">
        <v>294593</v>
      </c>
      <c r="B338" t="s">
        <v>343</v>
      </c>
      <c r="C338" t="s">
        <v>7</v>
      </c>
      <c r="D338" t="s">
        <v>1039</v>
      </c>
      <c r="E338">
        <v>3600000</v>
      </c>
      <c r="F338">
        <f>Perfiles_jugador[[#This Row],[market_value]]/1000000</f>
        <v>3.6</v>
      </c>
    </row>
    <row r="339" spans="1:6" x14ac:dyDescent="0.3">
      <c r="A339">
        <v>1002347</v>
      </c>
      <c r="B339" t="s">
        <v>344</v>
      </c>
      <c r="C339" t="s">
        <v>7</v>
      </c>
      <c r="D339" t="s">
        <v>1039</v>
      </c>
      <c r="E339">
        <v>2800000</v>
      </c>
      <c r="F339">
        <f>Perfiles_jugador[[#This Row],[market_value]]/1000000</f>
        <v>2.8</v>
      </c>
    </row>
    <row r="340" spans="1:6" x14ac:dyDescent="0.3">
      <c r="A340">
        <v>135116</v>
      </c>
      <c r="B340" t="s">
        <v>345</v>
      </c>
      <c r="C340" t="s">
        <v>7</v>
      </c>
      <c r="D340" t="s">
        <v>1039</v>
      </c>
      <c r="E340">
        <v>730000</v>
      </c>
      <c r="F340">
        <f>Perfiles_jugador[[#This Row],[market_value]]/1000000</f>
        <v>0.73</v>
      </c>
    </row>
    <row r="341" spans="1:6" x14ac:dyDescent="0.3">
      <c r="A341">
        <v>1632454</v>
      </c>
      <c r="B341" t="s">
        <v>346</v>
      </c>
      <c r="C341" t="s">
        <v>7</v>
      </c>
      <c r="D341" t="s">
        <v>1039</v>
      </c>
      <c r="E341">
        <v>3400000</v>
      </c>
      <c r="F341">
        <f>Perfiles_jugador[[#This Row],[market_value]]/1000000</f>
        <v>3.4</v>
      </c>
    </row>
    <row r="342" spans="1:6" x14ac:dyDescent="0.3">
      <c r="A342">
        <v>88625</v>
      </c>
      <c r="B342" t="s">
        <v>347</v>
      </c>
      <c r="C342" t="s">
        <v>7</v>
      </c>
      <c r="D342" t="s">
        <v>1040</v>
      </c>
      <c r="E342">
        <v>7300000</v>
      </c>
      <c r="F342">
        <f>Perfiles_jugador[[#This Row],[market_value]]/1000000</f>
        <v>7.3</v>
      </c>
    </row>
    <row r="343" spans="1:6" x14ac:dyDescent="0.3">
      <c r="A343">
        <v>164343</v>
      </c>
      <c r="B343" t="s">
        <v>348</v>
      </c>
      <c r="C343" t="s">
        <v>7</v>
      </c>
      <c r="D343" t="s">
        <v>1040</v>
      </c>
      <c r="E343">
        <v>2100000</v>
      </c>
      <c r="F343">
        <f>Perfiles_jugador[[#This Row],[market_value]]/1000000</f>
        <v>2.1</v>
      </c>
    </row>
    <row r="344" spans="1:6" x14ac:dyDescent="0.3">
      <c r="A344">
        <v>1521733</v>
      </c>
      <c r="B344" t="s">
        <v>349</v>
      </c>
      <c r="C344" t="s">
        <v>7</v>
      </c>
      <c r="D344" t="s">
        <v>1040</v>
      </c>
      <c r="E344">
        <v>440000</v>
      </c>
      <c r="F344">
        <f>Perfiles_jugador[[#This Row],[market_value]]/1000000</f>
        <v>0.44</v>
      </c>
    </row>
    <row r="345" spans="1:6" x14ac:dyDescent="0.3">
      <c r="A345">
        <v>180515</v>
      </c>
      <c r="B345" t="s">
        <v>350</v>
      </c>
      <c r="C345" t="s">
        <v>7</v>
      </c>
      <c r="D345" t="s">
        <v>1040</v>
      </c>
      <c r="E345">
        <v>830000</v>
      </c>
      <c r="F345">
        <f>Perfiles_jugador[[#This Row],[market_value]]/1000000</f>
        <v>0.83</v>
      </c>
    </row>
    <row r="346" spans="1:6" x14ac:dyDescent="0.3">
      <c r="A346">
        <v>83708</v>
      </c>
      <c r="B346" t="s">
        <v>351</v>
      </c>
      <c r="C346" t="s">
        <v>7</v>
      </c>
      <c r="D346" t="s">
        <v>1040</v>
      </c>
      <c r="E346">
        <v>95000</v>
      </c>
      <c r="F346">
        <f>Perfiles_jugador[[#This Row],[market_value]]/1000000</f>
        <v>9.5000000000000001E-2</v>
      </c>
    </row>
    <row r="347" spans="1:6" x14ac:dyDescent="0.3">
      <c r="A347">
        <v>900003</v>
      </c>
      <c r="B347" t="s">
        <v>352</v>
      </c>
      <c r="C347" t="s">
        <v>7</v>
      </c>
      <c r="D347" t="s">
        <v>1037</v>
      </c>
      <c r="E347">
        <v>10900000</v>
      </c>
      <c r="F347">
        <f>Perfiles_jugador[[#This Row],[market_value]]/1000000</f>
        <v>10.9</v>
      </c>
    </row>
    <row r="348" spans="1:6" x14ac:dyDescent="0.3">
      <c r="A348">
        <v>981604</v>
      </c>
      <c r="B348" t="s">
        <v>353</v>
      </c>
      <c r="C348" t="s">
        <v>7</v>
      </c>
      <c r="D348" t="s">
        <v>1037</v>
      </c>
      <c r="E348">
        <v>3800000</v>
      </c>
      <c r="F348">
        <f>Perfiles_jugador[[#This Row],[market_value]]/1000000</f>
        <v>3.8</v>
      </c>
    </row>
    <row r="349" spans="1:6" x14ac:dyDescent="0.3">
      <c r="A349">
        <v>1131581</v>
      </c>
      <c r="B349" t="s">
        <v>354</v>
      </c>
      <c r="C349" t="s">
        <v>7</v>
      </c>
      <c r="D349" t="s">
        <v>1037</v>
      </c>
      <c r="E349">
        <v>2100000</v>
      </c>
      <c r="F349">
        <f>Perfiles_jugador[[#This Row],[market_value]]/1000000</f>
        <v>2.1</v>
      </c>
    </row>
    <row r="350" spans="1:6" x14ac:dyDescent="0.3">
      <c r="A350">
        <v>910024</v>
      </c>
      <c r="B350" t="s">
        <v>355</v>
      </c>
      <c r="C350" t="s">
        <v>7</v>
      </c>
      <c r="D350" t="s">
        <v>1037</v>
      </c>
      <c r="E350">
        <v>2200000</v>
      </c>
      <c r="F350">
        <f>Perfiles_jugador[[#This Row],[market_value]]/1000000</f>
        <v>2.2000000000000002</v>
      </c>
    </row>
    <row r="351" spans="1:6" x14ac:dyDescent="0.3">
      <c r="A351">
        <v>932764</v>
      </c>
      <c r="B351" t="s">
        <v>356</v>
      </c>
      <c r="C351" t="s">
        <v>7</v>
      </c>
      <c r="D351" t="s">
        <v>1037</v>
      </c>
      <c r="E351">
        <v>1300000</v>
      </c>
      <c r="F351">
        <f>Perfiles_jugador[[#This Row],[market_value]]/1000000</f>
        <v>1.3</v>
      </c>
    </row>
    <row r="352" spans="1:6" x14ac:dyDescent="0.3">
      <c r="A352">
        <v>1089108</v>
      </c>
      <c r="B352" t="s">
        <v>357</v>
      </c>
      <c r="C352" t="s">
        <v>7</v>
      </c>
      <c r="D352" t="s">
        <v>1038</v>
      </c>
      <c r="E352">
        <v>11100000</v>
      </c>
      <c r="F352">
        <f>Perfiles_jugador[[#This Row],[market_value]]/1000000</f>
        <v>11.1</v>
      </c>
    </row>
    <row r="353" spans="1:6" x14ac:dyDescent="0.3">
      <c r="A353">
        <v>913679</v>
      </c>
      <c r="B353" t="s">
        <v>358</v>
      </c>
      <c r="C353" t="s">
        <v>7</v>
      </c>
      <c r="D353" t="s">
        <v>1038</v>
      </c>
      <c r="E353">
        <v>1800000</v>
      </c>
      <c r="F353">
        <f>Perfiles_jugador[[#This Row],[market_value]]/1000000</f>
        <v>1.8</v>
      </c>
    </row>
    <row r="354" spans="1:6" x14ac:dyDescent="0.3">
      <c r="A354">
        <v>899982</v>
      </c>
      <c r="B354" t="s">
        <v>359</v>
      </c>
      <c r="C354" t="s">
        <v>7</v>
      </c>
      <c r="D354" t="s">
        <v>1038</v>
      </c>
      <c r="E354">
        <v>3300000</v>
      </c>
      <c r="F354">
        <f>Perfiles_jugador[[#This Row],[market_value]]/1000000</f>
        <v>3.3</v>
      </c>
    </row>
    <row r="355" spans="1:6" x14ac:dyDescent="0.3">
      <c r="A355">
        <v>345111</v>
      </c>
      <c r="B355" t="s">
        <v>360</v>
      </c>
      <c r="C355" t="s">
        <v>7</v>
      </c>
      <c r="D355" t="s">
        <v>1038</v>
      </c>
      <c r="E355">
        <v>1700000</v>
      </c>
      <c r="F355">
        <f>Perfiles_jugador[[#This Row],[market_value]]/1000000</f>
        <v>1.7</v>
      </c>
    </row>
    <row r="356" spans="1:6" x14ac:dyDescent="0.3">
      <c r="A356">
        <v>900669</v>
      </c>
      <c r="B356" t="s">
        <v>361</v>
      </c>
      <c r="C356" t="s">
        <v>7</v>
      </c>
      <c r="D356" t="s">
        <v>1038</v>
      </c>
      <c r="E356">
        <v>2900000</v>
      </c>
      <c r="F356">
        <f>Perfiles_jugador[[#This Row],[market_value]]/1000000</f>
        <v>2.9</v>
      </c>
    </row>
    <row r="357" spans="1:6" x14ac:dyDescent="0.3">
      <c r="A357">
        <v>21949</v>
      </c>
      <c r="B357" t="s">
        <v>362</v>
      </c>
      <c r="C357" t="s">
        <v>7</v>
      </c>
      <c r="D357" t="s">
        <v>1038</v>
      </c>
      <c r="E357">
        <v>390000</v>
      </c>
      <c r="F357">
        <f>Perfiles_jugador[[#This Row],[market_value]]/1000000</f>
        <v>0.39</v>
      </c>
    </row>
    <row r="358" spans="1:6" x14ac:dyDescent="0.3">
      <c r="A358">
        <v>588566</v>
      </c>
      <c r="B358" t="s">
        <v>363</v>
      </c>
      <c r="C358" t="s">
        <v>7</v>
      </c>
      <c r="D358" t="s">
        <v>1038</v>
      </c>
      <c r="E358">
        <v>2600000</v>
      </c>
      <c r="F358">
        <f>Perfiles_jugador[[#This Row],[market_value]]/1000000</f>
        <v>2.6</v>
      </c>
    </row>
    <row r="359" spans="1:6" x14ac:dyDescent="0.3">
      <c r="A359">
        <v>966637</v>
      </c>
      <c r="B359" t="s">
        <v>364</v>
      </c>
      <c r="C359" t="s">
        <v>7</v>
      </c>
      <c r="D359" t="s">
        <v>1038</v>
      </c>
      <c r="E359">
        <v>2800000</v>
      </c>
      <c r="F359">
        <f>Perfiles_jugador[[#This Row],[market_value]]/1000000</f>
        <v>2.8</v>
      </c>
    </row>
    <row r="360" spans="1:6" x14ac:dyDescent="0.3">
      <c r="A360">
        <v>900008</v>
      </c>
      <c r="B360" t="s">
        <v>365</v>
      </c>
      <c r="C360" t="s">
        <v>7</v>
      </c>
      <c r="D360" t="s">
        <v>1038</v>
      </c>
      <c r="E360">
        <v>2100000</v>
      </c>
      <c r="F360">
        <f>Perfiles_jugador[[#This Row],[market_value]]/1000000</f>
        <v>2.1</v>
      </c>
    </row>
    <row r="361" spans="1:6" x14ac:dyDescent="0.3">
      <c r="A361">
        <v>326471</v>
      </c>
      <c r="B361" t="s">
        <v>366</v>
      </c>
      <c r="C361" t="s">
        <v>7</v>
      </c>
      <c r="D361" t="s">
        <v>1038</v>
      </c>
      <c r="E361">
        <v>1400000</v>
      </c>
      <c r="F361">
        <f>Perfiles_jugador[[#This Row],[market_value]]/1000000</f>
        <v>1.4</v>
      </c>
    </row>
    <row r="362" spans="1:6" x14ac:dyDescent="0.3">
      <c r="A362">
        <v>1392573</v>
      </c>
      <c r="B362" t="s">
        <v>367</v>
      </c>
      <c r="C362" t="s">
        <v>7</v>
      </c>
      <c r="D362" t="s">
        <v>1038</v>
      </c>
      <c r="E362">
        <v>54000</v>
      </c>
      <c r="F362">
        <f>Perfiles_jugador[[#This Row],[market_value]]/1000000</f>
        <v>5.3999999999999999E-2</v>
      </c>
    </row>
    <row r="363" spans="1:6" x14ac:dyDescent="0.3">
      <c r="A363">
        <v>965031</v>
      </c>
      <c r="B363" t="s">
        <v>368</v>
      </c>
      <c r="C363" t="s">
        <v>7</v>
      </c>
      <c r="D363" t="s">
        <v>1039</v>
      </c>
      <c r="E363">
        <v>16700000</v>
      </c>
      <c r="F363">
        <f>Perfiles_jugador[[#This Row],[market_value]]/1000000</f>
        <v>16.7</v>
      </c>
    </row>
    <row r="364" spans="1:6" x14ac:dyDescent="0.3">
      <c r="A364">
        <v>1458073</v>
      </c>
      <c r="B364" t="s">
        <v>369</v>
      </c>
      <c r="C364" t="s">
        <v>7</v>
      </c>
      <c r="D364" t="s">
        <v>1039</v>
      </c>
      <c r="E364">
        <v>6200000</v>
      </c>
      <c r="F364">
        <f>Perfiles_jugador[[#This Row],[market_value]]/1000000</f>
        <v>6.2</v>
      </c>
    </row>
    <row r="365" spans="1:6" x14ac:dyDescent="0.3">
      <c r="A365">
        <v>846147</v>
      </c>
      <c r="B365" t="s">
        <v>370</v>
      </c>
      <c r="C365" t="s">
        <v>7</v>
      </c>
      <c r="D365" t="s">
        <v>1039</v>
      </c>
      <c r="E365">
        <v>4300000</v>
      </c>
      <c r="F365">
        <f>Perfiles_jugador[[#This Row],[market_value]]/1000000</f>
        <v>4.3</v>
      </c>
    </row>
    <row r="366" spans="1:6" x14ac:dyDescent="0.3">
      <c r="A366">
        <v>88528</v>
      </c>
      <c r="B366" t="s">
        <v>371</v>
      </c>
      <c r="C366" t="s">
        <v>7</v>
      </c>
      <c r="D366" t="s">
        <v>1039</v>
      </c>
      <c r="E366">
        <v>1900000</v>
      </c>
      <c r="F366">
        <f>Perfiles_jugador[[#This Row],[market_value]]/1000000</f>
        <v>1.9</v>
      </c>
    </row>
    <row r="367" spans="1:6" x14ac:dyDescent="0.3">
      <c r="A367">
        <v>850035</v>
      </c>
      <c r="B367" t="s">
        <v>372</v>
      </c>
      <c r="C367" t="s">
        <v>7</v>
      </c>
      <c r="D367" t="s">
        <v>1039</v>
      </c>
      <c r="E367">
        <v>3100000</v>
      </c>
      <c r="F367">
        <f>Perfiles_jugador[[#This Row],[market_value]]/1000000</f>
        <v>3.1</v>
      </c>
    </row>
    <row r="368" spans="1:6" x14ac:dyDescent="0.3">
      <c r="A368">
        <v>152446</v>
      </c>
      <c r="B368" t="s">
        <v>373</v>
      </c>
      <c r="C368" t="s">
        <v>7</v>
      </c>
      <c r="D368" t="s">
        <v>1039</v>
      </c>
      <c r="E368">
        <v>1300000</v>
      </c>
      <c r="F368">
        <f>Perfiles_jugador[[#This Row],[market_value]]/1000000</f>
        <v>1.3</v>
      </c>
    </row>
    <row r="369" spans="1:6" x14ac:dyDescent="0.3">
      <c r="A369">
        <v>542634</v>
      </c>
      <c r="B369" t="s">
        <v>374</v>
      </c>
      <c r="C369" t="s">
        <v>7</v>
      </c>
      <c r="D369" t="s">
        <v>1039</v>
      </c>
      <c r="E369">
        <v>935000</v>
      </c>
      <c r="F369">
        <f>Perfiles_jugador[[#This Row],[market_value]]/1000000</f>
        <v>0.93500000000000005</v>
      </c>
    </row>
    <row r="370" spans="1:6" x14ac:dyDescent="0.3">
      <c r="A370">
        <v>1010421</v>
      </c>
      <c r="B370" t="s">
        <v>375</v>
      </c>
      <c r="C370" t="s">
        <v>7</v>
      </c>
      <c r="D370" t="s">
        <v>1039</v>
      </c>
      <c r="E370">
        <v>9700000</v>
      </c>
      <c r="F370">
        <f>Perfiles_jugador[[#This Row],[market_value]]/1000000</f>
        <v>9.6999999999999993</v>
      </c>
    </row>
    <row r="371" spans="1:6" x14ac:dyDescent="0.3">
      <c r="A371">
        <v>1120947</v>
      </c>
      <c r="B371" t="s">
        <v>376</v>
      </c>
      <c r="C371" t="s">
        <v>7</v>
      </c>
      <c r="D371" t="s">
        <v>1039</v>
      </c>
      <c r="E371">
        <v>2600000</v>
      </c>
      <c r="F371">
        <f>Perfiles_jugador[[#This Row],[market_value]]/1000000</f>
        <v>2.6</v>
      </c>
    </row>
    <row r="372" spans="1:6" x14ac:dyDescent="0.3">
      <c r="A372">
        <v>358910</v>
      </c>
      <c r="B372" t="s">
        <v>377</v>
      </c>
      <c r="C372" t="s">
        <v>7</v>
      </c>
      <c r="D372" t="s">
        <v>1040</v>
      </c>
      <c r="E372">
        <v>5800000</v>
      </c>
      <c r="F372">
        <f>Perfiles_jugador[[#This Row],[market_value]]/1000000</f>
        <v>5.8</v>
      </c>
    </row>
    <row r="373" spans="1:6" x14ac:dyDescent="0.3">
      <c r="A373">
        <v>965832</v>
      </c>
      <c r="B373" t="s">
        <v>378</v>
      </c>
      <c r="C373" t="s">
        <v>7</v>
      </c>
      <c r="D373" t="s">
        <v>1040</v>
      </c>
      <c r="E373">
        <v>1700000</v>
      </c>
      <c r="F373">
        <f>Perfiles_jugador[[#This Row],[market_value]]/1000000</f>
        <v>1.7</v>
      </c>
    </row>
    <row r="374" spans="1:6" x14ac:dyDescent="0.3">
      <c r="A374">
        <v>1165029</v>
      </c>
      <c r="B374" t="s">
        <v>379</v>
      </c>
      <c r="C374" t="s">
        <v>7</v>
      </c>
      <c r="D374" t="s">
        <v>1040</v>
      </c>
      <c r="E374">
        <v>53000</v>
      </c>
      <c r="F374">
        <f>Perfiles_jugador[[#This Row],[market_value]]/1000000</f>
        <v>5.2999999999999999E-2</v>
      </c>
    </row>
    <row r="375" spans="1:6" x14ac:dyDescent="0.3">
      <c r="A375">
        <v>175753</v>
      </c>
      <c r="B375" t="s">
        <v>380</v>
      </c>
      <c r="C375" t="s">
        <v>7</v>
      </c>
      <c r="D375" t="s">
        <v>1037</v>
      </c>
      <c r="E375">
        <v>765000</v>
      </c>
      <c r="F375">
        <f>Perfiles_jugador[[#This Row],[market_value]]/1000000</f>
        <v>0.76500000000000001</v>
      </c>
    </row>
    <row r="376" spans="1:6" x14ac:dyDescent="0.3">
      <c r="A376">
        <v>814385</v>
      </c>
      <c r="B376" t="s">
        <v>381</v>
      </c>
      <c r="C376" t="s">
        <v>7</v>
      </c>
      <c r="D376" t="s">
        <v>1037</v>
      </c>
      <c r="E376">
        <v>5300000</v>
      </c>
      <c r="F376">
        <f>Perfiles_jugador[[#This Row],[market_value]]/1000000</f>
        <v>5.3</v>
      </c>
    </row>
    <row r="377" spans="1:6" x14ac:dyDescent="0.3">
      <c r="A377">
        <v>831253</v>
      </c>
      <c r="B377" t="s">
        <v>382</v>
      </c>
      <c r="C377" t="s">
        <v>7</v>
      </c>
      <c r="D377" t="s">
        <v>1037</v>
      </c>
      <c r="E377">
        <v>3400000</v>
      </c>
      <c r="F377">
        <f>Perfiles_jugador[[#This Row],[market_value]]/1000000</f>
        <v>3.4</v>
      </c>
    </row>
    <row r="378" spans="1:6" x14ac:dyDescent="0.3">
      <c r="A378">
        <v>1084043</v>
      </c>
      <c r="B378" t="s">
        <v>383</v>
      </c>
      <c r="C378" t="s">
        <v>7</v>
      </c>
      <c r="D378" t="s">
        <v>1037</v>
      </c>
      <c r="E378">
        <v>1400000</v>
      </c>
      <c r="F378">
        <f>Perfiles_jugador[[#This Row],[market_value]]/1000000</f>
        <v>1.4</v>
      </c>
    </row>
    <row r="379" spans="1:6" x14ac:dyDescent="0.3">
      <c r="A379">
        <v>1403364</v>
      </c>
      <c r="B379" t="s">
        <v>384</v>
      </c>
      <c r="C379" t="s">
        <v>7</v>
      </c>
      <c r="D379" t="s">
        <v>1038</v>
      </c>
      <c r="E379">
        <v>5300000</v>
      </c>
      <c r="F379">
        <f>Perfiles_jugador[[#This Row],[market_value]]/1000000</f>
        <v>5.3</v>
      </c>
    </row>
    <row r="380" spans="1:6" x14ac:dyDescent="0.3">
      <c r="A380">
        <v>855832</v>
      </c>
      <c r="B380" t="s">
        <v>385</v>
      </c>
      <c r="C380" t="s">
        <v>7</v>
      </c>
      <c r="D380" t="s">
        <v>1038</v>
      </c>
      <c r="E380">
        <v>9700000</v>
      </c>
      <c r="F380">
        <f>Perfiles_jugador[[#This Row],[market_value]]/1000000</f>
        <v>9.6999999999999993</v>
      </c>
    </row>
    <row r="381" spans="1:6" x14ac:dyDescent="0.3">
      <c r="A381">
        <v>794937</v>
      </c>
      <c r="B381" t="s">
        <v>386</v>
      </c>
      <c r="C381" t="s">
        <v>7</v>
      </c>
      <c r="D381" t="s">
        <v>1038</v>
      </c>
      <c r="E381">
        <v>2800000</v>
      </c>
      <c r="F381">
        <f>Perfiles_jugador[[#This Row],[market_value]]/1000000</f>
        <v>2.8</v>
      </c>
    </row>
    <row r="382" spans="1:6" x14ac:dyDescent="0.3">
      <c r="A382">
        <v>1082968</v>
      </c>
      <c r="B382" t="s">
        <v>387</v>
      </c>
      <c r="C382" t="s">
        <v>7</v>
      </c>
      <c r="D382" t="s">
        <v>1038</v>
      </c>
      <c r="E382">
        <v>1500000</v>
      </c>
      <c r="F382">
        <f>Perfiles_jugador[[#This Row],[market_value]]/1000000</f>
        <v>1.5</v>
      </c>
    </row>
    <row r="383" spans="1:6" x14ac:dyDescent="0.3">
      <c r="A383">
        <v>138383</v>
      </c>
      <c r="B383" t="s">
        <v>388</v>
      </c>
      <c r="C383" t="s">
        <v>7</v>
      </c>
      <c r="D383" t="s">
        <v>1038</v>
      </c>
      <c r="E383">
        <v>1300000</v>
      </c>
      <c r="F383">
        <f>Perfiles_jugador[[#This Row],[market_value]]/1000000</f>
        <v>1.3</v>
      </c>
    </row>
    <row r="384" spans="1:6" x14ac:dyDescent="0.3">
      <c r="A384">
        <v>1046796</v>
      </c>
      <c r="B384" t="s">
        <v>389</v>
      </c>
      <c r="C384" t="s">
        <v>7</v>
      </c>
      <c r="D384" t="s">
        <v>1038</v>
      </c>
      <c r="E384">
        <v>1900000</v>
      </c>
      <c r="F384">
        <f>Perfiles_jugador[[#This Row],[market_value]]/1000000</f>
        <v>1.9</v>
      </c>
    </row>
    <row r="385" spans="1:6" x14ac:dyDescent="0.3">
      <c r="A385">
        <v>873717</v>
      </c>
      <c r="B385" t="s">
        <v>390</v>
      </c>
      <c r="C385" t="s">
        <v>7</v>
      </c>
      <c r="D385" t="s">
        <v>1038</v>
      </c>
      <c r="E385">
        <v>960000</v>
      </c>
      <c r="F385">
        <f>Perfiles_jugador[[#This Row],[market_value]]/1000000</f>
        <v>0.96</v>
      </c>
    </row>
    <row r="386" spans="1:6" x14ac:dyDescent="0.3">
      <c r="A386">
        <v>1084381</v>
      </c>
      <c r="B386" t="s">
        <v>391</v>
      </c>
      <c r="C386" t="s">
        <v>7</v>
      </c>
      <c r="D386" t="s">
        <v>1038</v>
      </c>
      <c r="E386">
        <v>3100000</v>
      </c>
      <c r="F386">
        <f>Perfiles_jugador[[#This Row],[market_value]]/1000000</f>
        <v>3.1</v>
      </c>
    </row>
    <row r="387" spans="1:6" x14ac:dyDescent="0.3">
      <c r="A387">
        <v>788141</v>
      </c>
      <c r="B387" t="s">
        <v>392</v>
      </c>
      <c r="C387" t="s">
        <v>7</v>
      </c>
      <c r="D387" t="s">
        <v>1038</v>
      </c>
      <c r="E387">
        <v>2400000</v>
      </c>
      <c r="F387">
        <f>Perfiles_jugador[[#This Row],[market_value]]/1000000</f>
        <v>2.4</v>
      </c>
    </row>
    <row r="388" spans="1:6" x14ac:dyDescent="0.3">
      <c r="A388">
        <v>891931</v>
      </c>
      <c r="B388" t="s">
        <v>393</v>
      </c>
      <c r="C388" t="s">
        <v>7</v>
      </c>
      <c r="D388" t="s">
        <v>1038</v>
      </c>
      <c r="E388">
        <v>3200000</v>
      </c>
      <c r="F388">
        <f>Perfiles_jugador[[#This Row],[market_value]]/1000000</f>
        <v>3.2</v>
      </c>
    </row>
    <row r="389" spans="1:6" x14ac:dyDescent="0.3">
      <c r="A389">
        <v>879875</v>
      </c>
      <c r="B389" t="s">
        <v>394</v>
      </c>
      <c r="C389" t="s">
        <v>7</v>
      </c>
      <c r="D389" t="s">
        <v>1039</v>
      </c>
      <c r="E389">
        <v>1100000</v>
      </c>
      <c r="F389">
        <f>Perfiles_jugador[[#This Row],[market_value]]/1000000</f>
        <v>1.1000000000000001</v>
      </c>
    </row>
    <row r="390" spans="1:6" x14ac:dyDescent="0.3">
      <c r="A390">
        <v>896073</v>
      </c>
      <c r="B390" t="s">
        <v>395</v>
      </c>
      <c r="C390" t="s">
        <v>7</v>
      </c>
      <c r="D390" t="s">
        <v>1039</v>
      </c>
      <c r="E390">
        <v>3200000</v>
      </c>
      <c r="F390">
        <f>Perfiles_jugador[[#This Row],[market_value]]/1000000</f>
        <v>3.2</v>
      </c>
    </row>
    <row r="391" spans="1:6" x14ac:dyDescent="0.3">
      <c r="A391">
        <v>235648</v>
      </c>
      <c r="B391" t="s">
        <v>396</v>
      </c>
      <c r="C391" t="s">
        <v>7</v>
      </c>
      <c r="D391" t="s">
        <v>1039</v>
      </c>
      <c r="E391">
        <v>2400000</v>
      </c>
      <c r="F391">
        <f>Perfiles_jugador[[#This Row],[market_value]]/1000000</f>
        <v>2.4</v>
      </c>
    </row>
    <row r="392" spans="1:6" x14ac:dyDescent="0.3">
      <c r="A392">
        <v>934383</v>
      </c>
      <c r="B392" t="s">
        <v>397</v>
      </c>
      <c r="C392" t="s">
        <v>7</v>
      </c>
      <c r="D392" t="s">
        <v>1039</v>
      </c>
      <c r="E392">
        <v>5200000</v>
      </c>
      <c r="F392">
        <f>Perfiles_jugador[[#This Row],[market_value]]/1000000</f>
        <v>5.2</v>
      </c>
    </row>
    <row r="393" spans="1:6" x14ac:dyDescent="0.3">
      <c r="A393">
        <v>999178</v>
      </c>
      <c r="B393" t="s">
        <v>398</v>
      </c>
      <c r="C393" t="s">
        <v>7</v>
      </c>
      <c r="D393" t="s">
        <v>1039</v>
      </c>
      <c r="E393">
        <v>1600000</v>
      </c>
      <c r="F393">
        <f>Perfiles_jugador[[#This Row],[market_value]]/1000000</f>
        <v>1.6</v>
      </c>
    </row>
    <row r="394" spans="1:6" x14ac:dyDescent="0.3">
      <c r="A394">
        <v>985726</v>
      </c>
      <c r="B394" t="s">
        <v>399</v>
      </c>
      <c r="C394" t="s">
        <v>7</v>
      </c>
      <c r="D394" t="s">
        <v>1039</v>
      </c>
      <c r="E394">
        <v>1900000</v>
      </c>
      <c r="F394">
        <f>Perfiles_jugador[[#This Row],[market_value]]/1000000</f>
        <v>1.9</v>
      </c>
    </row>
    <row r="395" spans="1:6" x14ac:dyDescent="0.3">
      <c r="A395">
        <v>1513222</v>
      </c>
      <c r="B395" t="s">
        <v>400</v>
      </c>
      <c r="C395" t="s">
        <v>7</v>
      </c>
      <c r="D395" t="s">
        <v>1039</v>
      </c>
      <c r="E395">
        <v>925000</v>
      </c>
      <c r="F395">
        <f>Perfiles_jugador[[#This Row],[market_value]]/1000000</f>
        <v>0.92500000000000004</v>
      </c>
    </row>
    <row r="396" spans="1:6" x14ac:dyDescent="0.3">
      <c r="A396">
        <v>369004</v>
      </c>
      <c r="B396" t="s">
        <v>401</v>
      </c>
      <c r="C396" t="s">
        <v>7</v>
      </c>
      <c r="D396" t="s">
        <v>1040</v>
      </c>
      <c r="E396">
        <v>5600000</v>
      </c>
      <c r="F396">
        <f>Perfiles_jugador[[#This Row],[market_value]]/1000000</f>
        <v>5.6</v>
      </c>
    </row>
    <row r="397" spans="1:6" x14ac:dyDescent="0.3">
      <c r="A397">
        <v>31828</v>
      </c>
      <c r="B397" t="s">
        <v>402</v>
      </c>
      <c r="C397" t="s">
        <v>7</v>
      </c>
      <c r="D397" t="s">
        <v>1040</v>
      </c>
      <c r="E397">
        <v>195000</v>
      </c>
      <c r="F397">
        <f>Perfiles_jugador[[#This Row],[market_value]]/1000000</f>
        <v>0.19500000000000001</v>
      </c>
    </row>
    <row r="398" spans="1:6" x14ac:dyDescent="0.3">
      <c r="A398">
        <v>34120</v>
      </c>
      <c r="B398" t="s">
        <v>403</v>
      </c>
      <c r="C398" t="s">
        <v>7</v>
      </c>
      <c r="D398" t="s">
        <v>1037</v>
      </c>
      <c r="E398">
        <v>1500000</v>
      </c>
      <c r="F398">
        <f>Perfiles_jugador[[#This Row],[market_value]]/1000000</f>
        <v>1.5</v>
      </c>
    </row>
    <row r="399" spans="1:6" x14ac:dyDescent="0.3">
      <c r="A399">
        <v>946381</v>
      </c>
      <c r="B399" t="s">
        <v>404</v>
      </c>
      <c r="C399" t="s">
        <v>7</v>
      </c>
      <c r="D399" t="s">
        <v>1037</v>
      </c>
      <c r="E399">
        <v>6800000</v>
      </c>
      <c r="F399">
        <f>Perfiles_jugador[[#This Row],[market_value]]/1000000</f>
        <v>6.8</v>
      </c>
    </row>
    <row r="400" spans="1:6" x14ac:dyDescent="0.3">
      <c r="A400">
        <v>875890</v>
      </c>
      <c r="B400" t="s">
        <v>405</v>
      </c>
      <c r="C400" t="s">
        <v>7</v>
      </c>
      <c r="D400" t="s">
        <v>1037</v>
      </c>
      <c r="E400">
        <v>3700000</v>
      </c>
      <c r="F400">
        <f>Perfiles_jugador[[#This Row],[market_value]]/1000000</f>
        <v>3.7</v>
      </c>
    </row>
    <row r="401" spans="1:6" x14ac:dyDescent="0.3">
      <c r="A401">
        <v>268903</v>
      </c>
      <c r="B401" t="s">
        <v>406</v>
      </c>
      <c r="C401" t="s">
        <v>7</v>
      </c>
      <c r="D401" t="s">
        <v>1037</v>
      </c>
      <c r="E401">
        <v>4099999</v>
      </c>
      <c r="F401">
        <f>Perfiles_jugador[[#This Row],[market_value]]/1000000</f>
        <v>4.0999990000000004</v>
      </c>
    </row>
    <row r="402" spans="1:6" x14ac:dyDescent="0.3">
      <c r="A402">
        <v>1018190</v>
      </c>
      <c r="B402" t="s">
        <v>407</v>
      </c>
      <c r="C402" t="s">
        <v>7</v>
      </c>
      <c r="D402" t="s">
        <v>1037</v>
      </c>
      <c r="E402">
        <v>6200000</v>
      </c>
      <c r="F402">
        <f>Perfiles_jugador[[#This Row],[market_value]]/1000000</f>
        <v>6.2</v>
      </c>
    </row>
    <row r="403" spans="1:6" x14ac:dyDescent="0.3">
      <c r="A403">
        <v>818986</v>
      </c>
      <c r="B403" t="s">
        <v>408</v>
      </c>
      <c r="C403" t="s">
        <v>7</v>
      </c>
      <c r="D403" t="s">
        <v>1038</v>
      </c>
      <c r="E403">
        <v>7600000</v>
      </c>
      <c r="F403">
        <f>Perfiles_jugador[[#This Row],[market_value]]/1000000</f>
        <v>7.6</v>
      </c>
    </row>
    <row r="404" spans="1:6" x14ac:dyDescent="0.3">
      <c r="A404">
        <v>872919</v>
      </c>
      <c r="B404" t="s">
        <v>409</v>
      </c>
      <c r="C404" t="s">
        <v>7</v>
      </c>
      <c r="D404" t="s">
        <v>1038</v>
      </c>
      <c r="E404">
        <v>11100000</v>
      </c>
      <c r="F404">
        <f>Perfiles_jugador[[#This Row],[market_value]]/1000000</f>
        <v>11.1</v>
      </c>
    </row>
    <row r="405" spans="1:6" x14ac:dyDescent="0.3">
      <c r="A405">
        <v>799054</v>
      </c>
      <c r="B405" t="s">
        <v>410</v>
      </c>
      <c r="C405" t="s">
        <v>7</v>
      </c>
      <c r="D405" t="s">
        <v>1038</v>
      </c>
      <c r="E405">
        <v>7100000</v>
      </c>
      <c r="F405">
        <f>Perfiles_jugador[[#This Row],[market_value]]/1000000</f>
        <v>7.1</v>
      </c>
    </row>
    <row r="406" spans="1:6" x14ac:dyDescent="0.3">
      <c r="A406">
        <v>960006</v>
      </c>
      <c r="B406" t="s">
        <v>411</v>
      </c>
      <c r="C406" t="s">
        <v>7</v>
      </c>
      <c r="D406" t="s">
        <v>1038</v>
      </c>
      <c r="E406">
        <v>12400000</v>
      </c>
      <c r="F406">
        <f>Perfiles_jugador[[#This Row],[market_value]]/1000000</f>
        <v>12.4</v>
      </c>
    </row>
    <row r="407" spans="1:6" x14ac:dyDescent="0.3">
      <c r="A407">
        <v>68332</v>
      </c>
      <c r="B407" t="s">
        <v>412</v>
      </c>
      <c r="C407" t="s">
        <v>7</v>
      </c>
      <c r="D407" t="s">
        <v>1038</v>
      </c>
      <c r="E407">
        <v>2400000</v>
      </c>
      <c r="F407">
        <f>Perfiles_jugador[[#This Row],[market_value]]/1000000</f>
        <v>2.4</v>
      </c>
    </row>
    <row r="408" spans="1:6" x14ac:dyDescent="0.3">
      <c r="A408">
        <v>328145</v>
      </c>
      <c r="B408" t="s">
        <v>413</v>
      </c>
      <c r="C408" t="s">
        <v>7</v>
      </c>
      <c r="D408" t="s">
        <v>1038</v>
      </c>
      <c r="E408">
        <v>1300000</v>
      </c>
      <c r="F408">
        <f>Perfiles_jugador[[#This Row],[market_value]]/1000000</f>
        <v>1.3</v>
      </c>
    </row>
    <row r="409" spans="1:6" x14ac:dyDescent="0.3">
      <c r="A409">
        <v>859021</v>
      </c>
      <c r="B409" t="s">
        <v>414</v>
      </c>
      <c r="C409" t="s">
        <v>7</v>
      </c>
      <c r="D409" t="s">
        <v>1038</v>
      </c>
      <c r="E409">
        <v>9100000</v>
      </c>
      <c r="F409">
        <f>Perfiles_jugador[[#This Row],[market_value]]/1000000</f>
        <v>9.1</v>
      </c>
    </row>
    <row r="410" spans="1:6" x14ac:dyDescent="0.3">
      <c r="A410">
        <v>1010655</v>
      </c>
      <c r="B410" t="s">
        <v>415</v>
      </c>
      <c r="C410" t="s">
        <v>7</v>
      </c>
      <c r="D410" t="s">
        <v>1038</v>
      </c>
      <c r="E410">
        <v>14600000</v>
      </c>
      <c r="F410">
        <f>Perfiles_jugador[[#This Row],[market_value]]/1000000</f>
        <v>14.6</v>
      </c>
    </row>
    <row r="411" spans="1:6" x14ac:dyDescent="0.3">
      <c r="A411">
        <v>997033</v>
      </c>
      <c r="B411" t="s">
        <v>416</v>
      </c>
      <c r="C411" t="s">
        <v>7</v>
      </c>
      <c r="D411" t="s">
        <v>1038</v>
      </c>
      <c r="E411">
        <v>3800000</v>
      </c>
      <c r="F411">
        <f>Perfiles_jugador[[#This Row],[market_value]]/1000000</f>
        <v>3.8</v>
      </c>
    </row>
    <row r="412" spans="1:6" x14ac:dyDescent="0.3">
      <c r="A412">
        <v>591750</v>
      </c>
      <c r="B412" t="s">
        <v>417</v>
      </c>
      <c r="C412" t="s">
        <v>7</v>
      </c>
      <c r="D412" t="s">
        <v>1038</v>
      </c>
      <c r="E412">
        <v>1900000</v>
      </c>
      <c r="F412">
        <f>Perfiles_jugador[[#This Row],[market_value]]/1000000</f>
        <v>1.9</v>
      </c>
    </row>
    <row r="413" spans="1:6" x14ac:dyDescent="0.3">
      <c r="A413">
        <v>1534422</v>
      </c>
      <c r="B413" t="s">
        <v>418</v>
      </c>
      <c r="C413" t="s">
        <v>7</v>
      </c>
      <c r="D413" t="s">
        <v>1038</v>
      </c>
      <c r="E413">
        <v>5200000</v>
      </c>
      <c r="F413">
        <f>Perfiles_jugador[[#This Row],[market_value]]/1000000</f>
        <v>5.2</v>
      </c>
    </row>
    <row r="414" spans="1:6" x14ac:dyDescent="0.3">
      <c r="A414">
        <v>1142094</v>
      </c>
      <c r="B414" t="s">
        <v>419</v>
      </c>
      <c r="C414" t="s">
        <v>7</v>
      </c>
      <c r="D414" t="s">
        <v>1038</v>
      </c>
      <c r="E414">
        <v>1500000</v>
      </c>
      <c r="F414">
        <f>Perfiles_jugador[[#This Row],[market_value]]/1000000</f>
        <v>1.5</v>
      </c>
    </row>
    <row r="415" spans="1:6" x14ac:dyDescent="0.3">
      <c r="A415">
        <v>21555</v>
      </c>
      <c r="B415" t="s">
        <v>420</v>
      </c>
      <c r="C415" t="s">
        <v>7</v>
      </c>
      <c r="D415" t="s">
        <v>1039</v>
      </c>
      <c r="E415">
        <v>1100000</v>
      </c>
      <c r="F415">
        <f>Perfiles_jugador[[#This Row],[market_value]]/1000000</f>
        <v>1.1000000000000001</v>
      </c>
    </row>
    <row r="416" spans="1:6" x14ac:dyDescent="0.3">
      <c r="A416">
        <v>1003007</v>
      </c>
      <c r="B416" t="s">
        <v>421</v>
      </c>
      <c r="C416" t="s">
        <v>7</v>
      </c>
      <c r="D416" t="s">
        <v>1039</v>
      </c>
      <c r="E416">
        <v>1400000</v>
      </c>
      <c r="F416">
        <f>Perfiles_jugador[[#This Row],[market_value]]/1000000</f>
        <v>1.4</v>
      </c>
    </row>
    <row r="417" spans="1:6" x14ac:dyDescent="0.3">
      <c r="A417">
        <v>840951</v>
      </c>
      <c r="B417" t="s">
        <v>422</v>
      </c>
      <c r="C417" t="s">
        <v>7</v>
      </c>
      <c r="D417" t="s">
        <v>1039</v>
      </c>
      <c r="E417">
        <v>2600000</v>
      </c>
      <c r="F417">
        <f>Perfiles_jugador[[#This Row],[market_value]]/1000000</f>
        <v>2.6</v>
      </c>
    </row>
    <row r="418" spans="1:6" x14ac:dyDescent="0.3">
      <c r="A418">
        <v>1015240</v>
      </c>
      <c r="B418" t="s">
        <v>423</v>
      </c>
      <c r="C418" t="s">
        <v>7</v>
      </c>
      <c r="D418" t="s">
        <v>1039</v>
      </c>
      <c r="E418">
        <v>11100000</v>
      </c>
      <c r="F418">
        <f>Perfiles_jugador[[#This Row],[market_value]]/1000000</f>
        <v>11.1</v>
      </c>
    </row>
    <row r="419" spans="1:6" x14ac:dyDescent="0.3">
      <c r="A419">
        <v>1097719</v>
      </c>
      <c r="B419" t="s">
        <v>424</v>
      </c>
      <c r="C419" t="s">
        <v>7</v>
      </c>
      <c r="D419" t="s">
        <v>1039</v>
      </c>
      <c r="E419">
        <v>8800000</v>
      </c>
      <c r="F419">
        <f>Perfiles_jugador[[#This Row],[market_value]]/1000000</f>
        <v>8.8000000000000007</v>
      </c>
    </row>
    <row r="420" spans="1:6" x14ac:dyDescent="0.3">
      <c r="A420">
        <v>941464</v>
      </c>
      <c r="B420" t="s">
        <v>425</v>
      </c>
      <c r="C420" t="s">
        <v>7</v>
      </c>
      <c r="D420" t="s">
        <v>1039</v>
      </c>
      <c r="E420">
        <v>900000</v>
      </c>
      <c r="F420">
        <f>Perfiles_jugador[[#This Row],[market_value]]/1000000</f>
        <v>0.9</v>
      </c>
    </row>
    <row r="421" spans="1:6" x14ac:dyDescent="0.3">
      <c r="A421">
        <v>252815</v>
      </c>
      <c r="B421" t="s">
        <v>426</v>
      </c>
      <c r="C421" t="s">
        <v>7</v>
      </c>
      <c r="D421" t="s">
        <v>1039</v>
      </c>
      <c r="E421">
        <v>2400000</v>
      </c>
      <c r="F421">
        <f>Perfiles_jugador[[#This Row],[market_value]]/1000000</f>
        <v>2.4</v>
      </c>
    </row>
    <row r="422" spans="1:6" x14ac:dyDescent="0.3">
      <c r="A422">
        <v>1428699</v>
      </c>
      <c r="B422" t="s">
        <v>427</v>
      </c>
      <c r="C422" t="s">
        <v>7</v>
      </c>
      <c r="D422" t="s">
        <v>1039</v>
      </c>
      <c r="E422">
        <v>1600000</v>
      </c>
      <c r="F422">
        <f>Perfiles_jugador[[#This Row],[market_value]]/1000000</f>
        <v>1.6</v>
      </c>
    </row>
    <row r="423" spans="1:6" x14ac:dyDescent="0.3">
      <c r="A423">
        <v>138149</v>
      </c>
      <c r="B423" t="s">
        <v>428</v>
      </c>
      <c r="C423" t="s">
        <v>7</v>
      </c>
      <c r="D423" t="s">
        <v>1040</v>
      </c>
      <c r="E423">
        <v>4300000</v>
      </c>
      <c r="F423">
        <f>Perfiles_jugador[[#This Row],[market_value]]/1000000</f>
        <v>4.3</v>
      </c>
    </row>
    <row r="424" spans="1:6" x14ac:dyDescent="0.3">
      <c r="A424">
        <v>22209</v>
      </c>
      <c r="B424" t="s">
        <v>429</v>
      </c>
      <c r="C424" t="s">
        <v>7</v>
      </c>
      <c r="D424" t="s">
        <v>1040</v>
      </c>
      <c r="E424">
        <v>930000</v>
      </c>
      <c r="F424">
        <f>Perfiles_jugador[[#This Row],[market_value]]/1000000</f>
        <v>0.93</v>
      </c>
    </row>
    <row r="425" spans="1:6" x14ac:dyDescent="0.3">
      <c r="A425">
        <v>1154587</v>
      </c>
      <c r="B425" t="s">
        <v>430</v>
      </c>
      <c r="C425" t="s">
        <v>7</v>
      </c>
      <c r="D425" t="s">
        <v>1037</v>
      </c>
      <c r="E425">
        <v>4600000</v>
      </c>
      <c r="F425">
        <f>Perfiles_jugador[[#This Row],[market_value]]/1000000</f>
        <v>4.5999999999999996</v>
      </c>
    </row>
    <row r="426" spans="1:6" x14ac:dyDescent="0.3">
      <c r="A426">
        <v>190159</v>
      </c>
      <c r="B426" t="s">
        <v>431</v>
      </c>
      <c r="C426" t="s">
        <v>7</v>
      </c>
      <c r="D426" t="s">
        <v>1037</v>
      </c>
      <c r="E426">
        <v>2800000</v>
      </c>
      <c r="F426">
        <f>Perfiles_jugador[[#This Row],[market_value]]/1000000</f>
        <v>2.8</v>
      </c>
    </row>
    <row r="427" spans="1:6" x14ac:dyDescent="0.3">
      <c r="A427">
        <v>825754</v>
      </c>
      <c r="B427" t="s">
        <v>432</v>
      </c>
      <c r="C427" t="s">
        <v>7</v>
      </c>
      <c r="D427" t="s">
        <v>1037</v>
      </c>
      <c r="E427">
        <v>4099999</v>
      </c>
      <c r="F427">
        <f>Perfiles_jugador[[#This Row],[market_value]]/1000000</f>
        <v>4.0999990000000004</v>
      </c>
    </row>
    <row r="428" spans="1:6" x14ac:dyDescent="0.3">
      <c r="A428">
        <v>1518971</v>
      </c>
      <c r="B428" t="s">
        <v>433</v>
      </c>
      <c r="C428" t="s">
        <v>7</v>
      </c>
      <c r="D428" t="s">
        <v>1037</v>
      </c>
      <c r="E428">
        <v>825000</v>
      </c>
      <c r="F428">
        <f>Perfiles_jugador[[#This Row],[market_value]]/1000000</f>
        <v>0.82499999999999996</v>
      </c>
    </row>
    <row r="429" spans="1:6" x14ac:dyDescent="0.3">
      <c r="A429">
        <v>605374</v>
      </c>
      <c r="B429" t="s">
        <v>434</v>
      </c>
      <c r="C429" t="s">
        <v>7</v>
      </c>
      <c r="D429" t="s">
        <v>1037</v>
      </c>
      <c r="E429">
        <v>1600000</v>
      </c>
      <c r="F429">
        <f>Perfiles_jugador[[#This Row],[market_value]]/1000000</f>
        <v>1.6</v>
      </c>
    </row>
    <row r="430" spans="1:6" x14ac:dyDescent="0.3">
      <c r="A430">
        <v>1126447</v>
      </c>
      <c r="B430" t="s">
        <v>435</v>
      </c>
      <c r="C430" t="s">
        <v>7</v>
      </c>
      <c r="D430" t="s">
        <v>1038</v>
      </c>
      <c r="E430">
        <v>3600000</v>
      </c>
      <c r="F430">
        <f>Perfiles_jugador[[#This Row],[market_value]]/1000000</f>
        <v>3.6</v>
      </c>
    </row>
    <row r="431" spans="1:6" x14ac:dyDescent="0.3">
      <c r="A431">
        <v>1117026</v>
      </c>
      <c r="B431" t="s">
        <v>436</v>
      </c>
      <c r="C431" t="s">
        <v>7</v>
      </c>
      <c r="D431" t="s">
        <v>1038</v>
      </c>
      <c r="E431">
        <v>3400000</v>
      </c>
      <c r="F431">
        <f>Perfiles_jugador[[#This Row],[market_value]]/1000000</f>
        <v>3.4</v>
      </c>
    </row>
    <row r="432" spans="1:6" x14ac:dyDescent="0.3">
      <c r="A432">
        <v>848512</v>
      </c>
      <c r="B432" t="s">
        <v>437</v>
      </c>
      <c r="C432" t="s">
        <v>7</v>
      </c>
      <c r="D432" t="s">
        <v>1038</v>
      </c>
      <c r="E432">
        <v>3600000</v>
      </c>
      <c r="F432">
        <f>Perfiles_jugador[[#This Row],[market_value]]/1000000</f>
        <v>3.6</v>
      </c>
    </row>
    <row r="433" spans="1:6" x14ac:dyDescent="0.3">
      <c r="A433">
        <v>286167</v>
      </c>
      <c r="B433" t="s">
        <v>438</v>
      </c>
      <c r="C433" t="s">
        <v>7</v>
      </c>
      <c r="D433" t="s">
        <v>1038</v>
      </c>
      <c r="E433">
        <v>4099999</v>
      </c>
      <c r="F433">
        <f>Perfiles_jugador[[#This Row],[market_value]]/1000000</f>
        <v>4.0999990000000004</v>
      </c>
    </row>
    <row r="434" spans="1:6" x14ac:dyDescent="0.3">
      <c r="A434">
        <v>914765</v>
      </c>
      <c r="B434" t="s">
        <v>439</v>
      </c>
      <c r="C434" t="s">
        <v>7</v>
      </c>
      <c r="D434" t="s">
        <v>1038</v>
      </c>
      <c r="E434">
        <v>1700000</v>
      </c>
      <c r="F434">
        <f>Perfiles_jugador[[#This Row],[market_value]]/1000000</f>
        <v>1.7</v>
      </c>
    </row>
    <row r="435" spans="1:6" x14ac:dyDescent="0.3">
      <c r="A435">
        <v>962710</v>
      </c>
      <c r="B435" t="s">
        <v>440</v>
      </c>
      <c r="C435" t="s">
        <v>7</v>
      </c>
      <c r="D435" t="s">
        <v>1038</v>
      </c>
      <c r="E435">
        <v>5200000</v>
      </c>
      <c r="F435">
        <f>Perfiles_jugador[[#This Row],[market_value]]/1000000</f>
        <v>5.2</v>
      </c>
    </row>
    <row r="436" spans="1:6" x14ac:dyDescent="0.3">
      <c r="A436">
        <v>1100646</v>
      </c>
      <c r="B436" t="s">
        <v>441</v>
      </c>
      <c r="C436" t="s">
        <v>7</v>
      </c>
      <c r="D436" t="s">
        <v>1038</v>
      </c>
      <c r="E436">
        <v>4800000</v>
      </c>
      <c r="F436">
        <f>Perfiles_jugador[[#This Row],[market_value]]/1000000</f>
        <v>4.8</v>
      </c>
    </row>
    <row r="437" spans="1:6" x14ac:dyDescent="0.3">
      <c r="A437">
        <v>1014595</v>
      </c>
      <c r="B437" t="s">
        <v>442</v>
      </c>
      <c r="C437" t="s">
        <v>7</v>
      </c>
      <c r="D437" t="s">
        <v>1038</v>
      </c>
      <c r="E437">
        <v>3200000</v>
      </c>
      <c r="F437">
        <f>Perfiles_jugador[[#This Row],[market_value]]/1000000</f>
        <v>3.2</v>
      </c>
    </row>
    <row r="438" spans="1:6" x14ac:dyDescent="0.3">
      <c r="A438">
        <v>1092515</v>
      </c>
      <c r="B438" t="s">
        <v>443</v>
      </c>
      <c r="C438" t="s">
        <v>7</v>
      </c>
      <c r="D438" t="s">
        <v>1038</v>
      </c>
      <c r="E438">
        <v>855000</v>
      </c>
      <c r="F438">
        <f>Perfiles_jugador[[#This Row],[market_value]]/1000000</f>
        <v>0.85499999999999998</v>
      </c>
    </row>
    <row r="439" spans="1:6" x14ac:dyDescent="0.3">
      <c r="A439">
        <v>808955</v>
      </c>
      <c r="B439" t="s">
        <v>444</v>
      </c>
      <c r="C439" t="s">
        <v>7</v>
      </c>
      <c r="D439" t="s">
        <v>1038</v>
      </c>
      <c r="E439">
        <v>105000</v>
      </c>
      <c r="F439">
        <f>Perfiles_jugador[[#This Row],[market_value]]/1000000</f>
        <v>0.105</v>
      </c>
    </row>
    <row r="440" spans="1:6" x14ac:dyDescent="0.3">
      <c r="A440">
        <v>1402908</v>
      </c>
      <c r="B440" t="s">
        <v>445</v>
      </c>
      <c r="C440" t="s">
        <v>7</v>
      </c>
      <c r="D440" t="s">
        <v>1039</v>
      </c>
      <c r="E440">
        <v>11600000</v>
      </c>
      <c r="F440">
        <f>Perfiles_jugador[[#This Row],[market_value]]/1000000</f>
        <v>11.6</v>
      </c>
    </row>
    <row r="441" spans="1:6" x14ac:dyDescent="0.3">
      <c r="A441">
        <v>988672</v>
      </c>
      <c r="B441" t="s">
        <v>446</v>
      </c>
      <c r="C441" t="s">
        <v>7</v>
      </c>
      <c r="D441" t="s">
        <v>1039</v>
      </c>
      <c r="E441">
        <v>8100000</v>
      </c>
      <c r="F441">
        <f>Perfiles_jugador[[#This Row],[market_value]]/1000000</f>
        <v>8.1</v>
      </c>
    </row>
    <row r="442" spans="1:6" x14ac:dyDescent="0.3">
      <c r="A442">
        <v>1542721</v>
      </c>
      <c r="B442" t="s">
        <v>447</v>
      </c>
      <c r="C442" t="s">
        <v>7</v>
      </c>
      <c r="D442" t="s">
        <v>1039</v>
      </c>
      <c r="E442">
        <v>970000</v>
      </c>
      <c r="F442">
        <f>Perfiles_jugador[[#This Row],[market_value]]/1000000</f>
        <v>0.97</v>
      </c>
    </row>
    <row r="443" spans="1:6" x14ac:dyDescent="0.3">
      <c r="A443">
        <v>928672</v>
      </c>
      <c r="B443" t="s">
        <v>448</v>
      </c>
      <c r="C443" t="s">
        <v>7</v>
      </c>
      <c r="D443" t="s">
        <v>1039</v>
      </c>
      <c r="E443">
        <v>3900000</v>
      </c>
      <c r="F443">
        <f>Perfiles_jugador[[#This Row],[market_value]]/1000000</f>
        <v>3.9</v>
      </c>
    </row>
    <row r="444" spans="1:6" x14ac:dyDescent="0.3">
      <c r="A444">
        <v>855831</v>
      </c>
      <c r="B444" t="s">
        <v>449</v>
      </c>
      <c r="C444" t="s">
        <v>7</v>
      </c>
      <c r="D444" t="s">
        <v>1039</v>
      </c>
      <c r="E444">
        <v>4300000</v>
      </c>
      <c r="F444">
        <f>Perfiles_jugador[[#This Row],[market_value]]/1000000</f>
        <v>4.3</v>
      </c>
    </row>
    <row r="445" spans="1:6" x14ac:dyDescent="0.3">
      <c r="A445">
        <v>141832</v>
      </c>
      <c r="B445" t="s">
        <v>450</v>
      </c>
      <c r="C445" t="s">
        <v>7</v>
      </c>
      <c r="D445" t="s">
        <v>1039</v>
      </c>
      <c r="E445">
        <v>415000</v>
      </c>
      <c r="F445">
        <f>Perfiles_jugador[[#This Row],[market_value]]/1000000</f>
        <v>0.41499999999999998</v>
      </c>
    </row>
    <row r="446" spans="1:6" x14ac:dyDescent="0.3">
      <c r="A446">
        <v>827504</v>
      </c>
      <c r="B446" t="s">
        <v>451</v>
      </c>
      <c r="C446" t="s">
        <v>7</v>
      </c>
      <c r="D446" t="s">
        <v>1039</v>
      </c>
      <c r="E446">
        <v>1400000</v>
      </c>
      <c r="F446">
        <f>Perfiles_jugador[[#This Row],[market_value]]/1000000</f>
        <v>1.4</v>
      </c>
    </row>
    <row r="447" spans="1:6" x14ac:dyDescent="0.3">
      <c r="A447">
        <v>1094758</v>
      </c>
      <c r="B447" t="s">
        <v>452</v>
      </c>
      <c r="C447" t="s">
        <v>7</v>
      </c>
      <c r="D447" t="s">
        <v>1039</v>
      </c>
      <c r="E447">
        <v>1000000</v>
      </c>
      <c r="F447">
        <f>Perfiles_jugador[[#This Row],[market_value]]/1000000</f>
        <v>1</v>
      </c>
    </row>
    <row r="448" spans="1:6" x14ac:dyDescent="0.3">
      <c r="A448">
        <v>1979033</v>
      </c>
      <c r="B448" t="s">
        <v>453</v>
      </c>
      <c r="C448" t="s">
        <v>7</v>
      </c>
      <c r="D448" t="s">
        <v>1039</v>
      </c>
      <c r="E448">
        <v>52000</v>
      </c>
      <c r="F448">
        <f>Perfiles_jugador[[#This Row],[market_value]]/1000000</f>
        <v>5.1999999999999998E-2</v>
      </c>
    </row>
    <row r="449" spans="1:6" x14ac:dyDescent="0.3">
      <c r="A449">
        <v>1916211</v>
      </c>
      <c r="B449" t="s">
        <v>5</v>
      </c>
      <c r="C449" t="s">
        <v>7</v>
      </c>
      <c r="D449" t="s">
        <v>1039</v>
      </c>
      <c r="E449">
        <v>54000</v>
      </c>
      <c r="F449">
        <f>Perfiles_jugador[[#This Row],[market_value]]/1000000</f>
        <v>5.3999999999999999E-2</v>
      </c>
    </row>
    <row r="450" spans="1:6" x14ac:dyDescent="0.3">
      <c r="A450">
        <v>794949</v>
      </c>
      <c r="B450" t="s">
        <v>454</v>
      </c>
      <c r="C450" t="s">
        <v>7</v>
      </c>
      <c r="D450" t="s">
        <v>1040</v>
      </c>
      <c r="E450">
        <v>7300000</v>
      </c>
      <c r="F450">
        <f>Perfiles_jugador[[#This Row],[market_value]]/1000000</f>
        <v>7.3</v>
      </c>
    </row>
    <row r="451" spans="1:6" x14ac:dyDescent="0.3">
      <c r="A451">
        <v>556884</v>
      </c>
      <c r="B451" t="s">
        <v>455</v>
      </c>
      <c r="C451" t="s">
        <v>7</v>
      </c>
      <c r="D451" t="s">
        <v>1040</v>
      </c>
      <c r="E451">
        <v>205000</v>
      </c>
      <c r="F451">
        <f>Perfiles_jugador[[#This Row],[market_value]]/1000000</f>
        <v>0.20499999999999999</v>
      </c>
    </row>
    <row r="452" spans="1:6" x14ac:dyDescent="0.3">
      <c r="A452">
        <v>1019324</v>
      </c>
      <c r="B452" t="s">
        <v>456</v>
      </c>
      <c r="C452" t="s">
        <v>7</v>
      </c>
      <c r="D452" t="s">
        <v>1040</v>
      </c>
      <c r="E452">
        <v>1900000</v>
      </c>
      <c r="F452">
        <f>Perfiles_jugador[[#This Row],[market_value]]/1000000</f>
        <v>1.9</v>
      </c>
    </row>
    <row r="453" spans="1:6" x14ac:dyDescent="0.3">
      <c r="A453">
        <v>310874</v>
      </c>
      <c r="B453" t="s">
        <v>457</v>
      </c>
      <c r="C453" t="s">
        <v>7</v>
      </c>
      <c r="D453" t="s">
        <v>1037</v>
      </c>
      <c r="E453">
        <v>4400000</v>
      </c>
      <c r="F453">
        <f>Perfiles_jugador[[#This Row],[market_value]]/1000000</f>
        <v>4.4000000000000004</v>
      </c>
    </row>
    <row r="454" spans="1:6" x14ac:dyDescent="0.3">
      <c r="A454">
        <v>1000150</v>
      </c>
      <c r="B454" t="s">
        <v>458</v>
      </c>
      <c r="C454" t="s">
        <v>7</v>
      </c>
      <c r="D454" t="s">
        <v>1037</v>
      </c>
      <c r="E454">
        <v>3600000</v>
      </c>
      <c r="F454">
        <f>Perfiles_jugador[[#This Row],[market_value]]/1000000</f>
        <v>3.6</v>
      </c>
    </row>
    <row r="455" spans="1:6" x14ac:dyDescent="0.3">
      <c r="A455">
        <v>1170693</v>
      </c>
      <c r="B455" t="s">
        <v>459</v>
      </c>
      <c r="C455" t="s">
        <v>7</v>
      </c>
      <c r="D455" t="s">
        <v>1037</v>
      </c>
      <c r="E455">
        <v>3700000</v>
      </c>
      <c r="F455">
        <f>Perfiles_jugador[[#This Row],[market_value]]/1000000</f>
        <v>3.7</v>
      </c>
    </row>
    <row r="456" spans="1:6" x14ac:dyDescent="0.3">
      <c r="A456">
        <v>146852</v>
      </c>
      <c r="B456" t="s">
        <v>460</v>
      </c>
      <c r="C456" t="s">
        <v>7</v>
      </c>
      <c r="D456" t="s">
        <v>1037</v>
      </c>
      <c r="E456">
        <v>970000</v>
      </c>
      <c r="F456">
        <f>Perfiles_jugador[[#This Row],[market_value]]/1000000</f>
        <v>0.97</v>
      </c>
    </row>
    <row r="457" spans="1:6" x14ac:dyDescent="0.3">
      <c r="A457">
        <v>1082981</v>
      </c>
      <c r="B457" t="s">
        <v>461</v>
      </c>
      <c r="C457" t="s">
        <v>7</v>
      </c>
      <c r="D457" t="s">
        <v>1038</v>
      </c>
      <c r="E457">
        <v>4900000</v>
      </c>
      <c r="F457">
        <f>Perfiles_jugador[[#This Row],[market_value]]/1000000</f>
        <v>4.9000000000000004</v>
      </c>
    </row>
    <row r="458" spans="1:6" x14ac:dyDescent="0.3">
      <c r="A458">
        <v>1939173</v>
      </c>
      <c r="B458" t="s">
        <v>462</v>
      </c>
      <c r="C458" t="s">
        <v>7</v>
      </c>
      <c r="D458" t="s">
        <v>1038</v>
      </c>
      <c r="E458">
        <v>13800000</v>
      </c>
      <c r="F458">
        <f>Perfiles_jugador[[#This Row],[market_value]]/1000000</f>
        <v>13.8</v>
      </c>
    </row>
    <row r="459" spans="1:6" x14ac:dyDescent="0.3">
      <c r="A459">
        <v>309546</v>
      </c>
      <c r="B459" t="s">
        <v>463</v>
      </c>
      <c r="C459" t="s">
        <v>7</v>
      </c>
      <c r="D459" t="s">
        <v>1038</v>
      </c>
      <c r="E459">
        <v>1700000</v>
      </c>
      <c r="F459">
        <f>Perfiles_jugador[[#This Row],[market_value]]/1000000</f>
        <v>1.7</v>
      </c>
    </row>
    <row r="460" spans="1:6" x14ac:dyDescent="0.3">
      <c r="A460">
        <v>988351</v>
      </c>
      <c r="B460" t="s">
        <v>464</v>
      </c>
      <c r="C460" t="s">
        <v>7</v>
      </c>
      <c r="D460" t="s">
        <v>1038</v>
      </c>
      <c r="E460">
        <v>14600000</v>
      </c>
      <c r="F460">
        <f>Perfiles_jugador[[#This Row],[market_value]]/1000000</f>
        <v>14.6</v>
      </c>
    </row>
    <row r="461" spans="1:6" x14ac:dyDescent="0.3">
      <c r="A461">
        <v>110783</v>
      </c>
      <c r="B461" t="s">
        <v>465</v>
      </c>
      <c r="C461" t="s">
        <v>7</v>
      </c>
      <c r="D461" t="s">
        <v>1038</v>
      </c>
      <c r="E461">
        <v>3300000</v>
      </c>
      <c r="F461">
        <f>Perfiles_jugador[[#This Row],[market_value]]/1000000</f>
        <v>3.3</v>
      </c>
    </row>
    <row r="462" spans="1:6" x14ac:dyDescent="0.3">
      <c r="A462">
        <v>255999</v>
      </c>
      <c r="B462" t="s">
        <v>466</v>
      </c>
      <c r="C462" t="s">
        <v>7</v>
      </c>
      <c r="D462" t="s">
        <v>1038</v>
      </c>
      <c r="E462">
        <v>835000</v>
      </c>
      <c r="F462">
        <f>Perfiles_jugador[[#This Row],[market_value]]/1000000</f>
        <v>0.83499999999999996</v>
      </c>
    </row>
    <row r="463" spans="1:6" x14ac:dyDescent="0.3">
      <c r="A463">
        <v>826004</v>
      </c>
      <c r="B463" t="s">
        <v>467</v>
      </c>
      <c r="C463" t="s">
        <v>7</v>
      </c>
      <c r="D463" t="s">
        <v>1038</v>
      </c>
      <c r="E463">
        <v>2200000</v>
      </c>
      <c r="F463">
        <f>Perfiles_jugador[[#This Row],[market_value]]/1000000</f>
        <v>2.2000000000000002</v>
      </c>
    </row>
    <row r="464" spans="1:6" x14ac:dyDescent="0.3">
      <c r="A464">
        <v>1484974</v>
      </c>
      <c r="B464" t="s">
        <v>468</v>
      </c>
      <c r="C464" t="s">
        <v>7</v>
      </c>
      <c r="D464" t="s">
        <v>1038</v>
      </c>
      <c r="E464">
        <v>775000</v>
      </c>
      <c r="F464">
        <f>Perfiles_jugador[[#This Row],[market_value]]/1000000</f>
        <v>0.77500000000000002</v>
      </c>
    </row>
    <row r="465" spans="1:6" x14ac:dyDescent="0.3">
      <c r="A465">
        <v>1162309</v>
      </c>
      <c r="B465" t="s">
        <v>469</v>
      </c>
      <c r="C465" t="s">
        <v>7</v>
      </c>
      <c r="D465" t="s">
        <v>1038</v>
      </c>
      <c r="E465">
        <v>845000</v>
      </c>
      <c r="F465">
        <f>Perfiles_jugador[[#This Row],[market_value]]/1000000</f>
        <v>0.84499999999999997</v>
      </c>
    </row>
    <row r="466" spans="1:6" x14ac:dyDescent="0.3">
      <c r="A466">
        <v>1905699</v>
      </c>
      <c r="B466" t="s">
        <v>470</v>
      </c>
      <c r="C466" t="s">
        <v>7</v>
      </c>
      <c r="D466" t="s">
        <v>1038</v>
      </c>
      <c r="E466">
        <v>485000</v>
      </c>
      <c r="F466">
        <f>Perfiles_jugador[[#This Row],[market_value]]/1000000</f>
        <v>0.48499999999999999</v>
      </c>
    </row>
    <row r="467" spans="1:6" x14ac:dyDescent="0.3">
      <c r="A467">
        <v>2415824</v>
      </c>
      <c r="B467" t="s">
        <v>471</v>
      </c>
      <c r="C467" t="s">
        <v>7</v>
      </c>
      <c r="D467" t="s">
        <v>1038</v>
      </c>
      <c r="E467">
        <v>24000</v>
      </c>
      <c r="F467">
        <f>Perfiles_jugador[[#This Row],[market_value]]/1000000</f>
        <v>2.4E-2</v>
      </c>
    </row>
    <row r="468" spans="1:6" x14ac:dyDescent="0.3">
      <c r="A468">
        <v>344847</v>
      </c>
      <c r="B468" t="s">
        <v>472</v>
      </c>
      <c r="C468" t="s">
        <v>7</v>
      </c>
      <c r="D468" t="s">
        <v>1039</v>
      </c>
      <c r="E468">
        <v>1700000</v>
      </c>
      <c r="F468">
        <f>Perfiles_jugador[[#This Row],[market_value]]/1000000</f>
        <v>1.7</v>
      </c>
    </row>
    <row r="469" spans="1:6" x14ac:dyDescent="0.3">
      <c r="A469">
        <v>788216</v>
      </c>
      <c r="B469" t="s">
        <v>473</v>
      </c>
      <c r="C469" t="s">
        <v>7</v>
      </c>
      <c r="D469" t="s">
        <v>1039</v>
      </c>
      <c r="E469">
        <v>4800000</v>
      </c>
      <c r="F469">
        <f>Perfiles_jugador[[#This Row],[market_value]]/1000000</f>
        <v>4.8</v>
      </c>
    </row>
    <row r="470" spans="1:6" x14ac:dyDescent="0.3">
      <c r="A470">
        <v>893642</v>
      </c>
      <c r="B470" t="s">
        <v>474</v>
      </c>
      <c r="C470" t="s">
        <v>7</v>
      </c>
      <c r="D470" t="s">
        <v>1039</v>
      </c>
      <c r="E470">
        <v>4600000</v>
      </c>
      <c r="F470">
        <f>Perfiles_jugador[[#This Row],[market_value]]/1000000</f>
        <v>4.5999999999999996</v>
      </c>
    </row>
    <row r="471" spans="1:6" x14ac:dyDescent="0.3">
      <c r="A471">
        <v>807116</v>
      </c>
      <c r="B471" t="s">
        <v>475</v>
      </c>
      <c r="C471" t="s">
        <v>7</v>
      </c>
      <c r="D471" t="s">
        <v>1039</v>
      </c>
      <c r="E471">
        <v>1600000</v>
      </c>
      <c r="F471">
        <f>Perfiles_jugador[[#This Row],[market_value]]/1000000</f>
        <v>1.6</v>
      </c>
    </row>
    <row r="472" spans="1:6" x14ac:dyDescent="0.3">
      <c r="A472">
        <v>300522</v>
      </c>
      <c r="B472" t="s">
        <v>476</v>
      </c>
      <c r="C472" t="s">
        <v>7</v>
      </c>
      <c r="D472" t="s">
        <v>1039</v>
      </c>
      <c r="E472">
        <v>4700000</v>
      </c>
      <c r="F472">
        <f>Perfiles_jugador[[#This Row],[market_value]]/1000000</f>
        <v>4.7</v>
      </c>
    </row>
    <row r="473" spans="1:6" x14ac:dyDescent="0.3">
      <c r="A473">
        <v>879543</v>
      </c>
      <c r="B473" t="s">
        <v>477</v>
      </c>
      <c r="C473" t="s">
        <v>7</v>
      </c>
      <c r="D473" t="s">
        <v>1039</v>
      </c>
      <c r="E473">
        <v>1500000</v>
      </c>
      <c r="F473">
        <f>Perfiles_jugador[[#This Row],[market_value]]/1000000</f>
        <v>1.5</v>
      </c>
    </row>
    <row r="474" spans="1:6" x14ac:dyDescent="0.3">
      <c r="A474">
        <v>828239</v>
      </c>
      <c r="B474" t="s">
        <v>478</v>
      </c>
      <c r="C474" t="s">
        <v>7</v>
      </c>
      <c r="D474" t="s">
        <v>1039</v>
      </c>
      <c r="E474">
        <v>1400000</v>
      </c>
      <c r="F474">
        <f>Perfiles_jugador[[#This Row],[market_value]]/1000000</f>
        <v>1.4</v>
      </c>
    </row>
    <row r="475" spans="1:6" x14ac:dyDescent="0.3">
      <c r="A475">
        <v>1513896</v>
      </c>
      <c r="B475" t="s">
        <v>345</v>
      </c>
      <c r="C475" t="s">
        <v>7</v>
      </c>
      <c r="D475" t="s">
        <v>1039</v>
      </c>
      <c r="E475">
        <v>1300000</v>
      </c>
      <c r="F475">
        <f>Perfiles_jugador[[#This Row],[market_value]]/1000000</f>
        <v>1.3</v>
      </c>
    </row>
    <row r="476" spans="1:6" x14ac:dyDescent="0.3">
      <c r="A476">
        <v>996903</v>
      </c>
      <c r="B476" t="s">
        <v>479</v>
      </c>
      <c r="C476" t="s">
        <v>7</v>
      </c>
      <c r="D476" t="s">
        <v>1040</v>
      </c>
      <c r="E476">
        <v>1600000</v>
      </c>
      <c r="F476">
        <f>Perfiles_jugador[[#This Row],[market_value]]/1000000</f>
        <v>1.6</v>
      </c>
    </row>
    <row r="477" spans="1:6" x14ac:dyDescent="0.3">
      <c r="A477">
        <v>1131909</v>
      </c>
      <c r="B477" t="s">
        <v>480</v>
      </c>
      <c r="C477" t="s">
        <v>7</v>
      </c>
      <c r="D477" t="s">
        <v>1040</v>
      </c>
      <c r="E477">
        <v>5800000</v>
      </c>
      <c r="F477">
        <f>Perfiles_jugador[[#This Row],[market_value]]/1000000</f>
        <v>5.8</v>
      </c>
    </row>
    <row r="478" spans="1:6" x14ac:dyDescent="0.3">
      <c r="A478">
        <v>19013</v>
      </c>
      <c r="B478" t="s">
        <v>481</v>
      </c>
      <c r="C478" t="s">
        <v>7</v>
      </c>
      <c r="D478" t="s">
        <v>1040</v>
      </c>
      <c r="E478">
        <v>110000</v>
      </c>
      <c r="F478">
        <f>Perfiles_jugador[[#This Row],[market_value]]/1000000</f>
        <v>0.11</v>
      </c>
    </row>
    <row r="479" spans="1:6" x14ac:dyDescent="0.3">
      <c r="A479">
        <v>1393673</v>
      </c>
      <c r="B479" t="s">
        <v>482</v>
      </c>
      <c r="C479" t="s">
        <v>7</v>
      </c>
      <c r="D479" t="s">
        <v>1037</v>
      </c>
      <c r="E479">
        <v>18700000</v>
      </c>
      <c r="F479">
        <f>Perfiles_jugador[[#This Row],[market_value]]/1000000</f>
        <v>18.7</v>
      </c>
    </row>
    <row r="480" spans="1:6" x14ac:dyDescent="0.3">
      <c r="A480">
        <v>344129</v>
      </c>
      <c r="B480" t="s">
        <v>483</v>
      </c>
      <c r="C480" t="s">
        <v>7</v>
      </c>
      <c r="D480" t="s">
        <v>1037</v>
      </c>
      <c r="E480">
        <v>315000</v>
      </c>
      <c r="F480">
        <f>Perfiles_jugador[[#This Row],[market_value]]/1000000</f>
        <v>0.315</v>
      </c>
    </row>
    <row r="481" spans="1:6" x14ac:dyDescent="0.3">
      <c r="A481">
        <v>1014042</v>
      </c>
      <c r="B481" t="s">
        <v>484</v>
      </c>
      <c r="C481" t="s">
        <v>7</v>
      </c>
      <c r="D481" t="s">
        <v>1037</v>
      </c>
      <c r="E481">
        <v>6900000</v>
      </c>
      <c r="F481">
        <f>Perfiles_jugador[[#This Row],[market_value]]/1000000</f>
        <v>6.9</v>
      </c>
    </row>
    <row r="482" spans="1:6" x14ac:dyDescent="0.3">
      <c r="A482">
        <v>1649918</v>
      </c>
      <c r="B482" t="s">
        <v>485</v>
      </c>
      <c r="C482" t="s">
        <v>7</v>
      </c>
      <c r="D482" t="s">
        <v>1037</v>
      </c>
      <c r="E482">
        <v>2700000</v>
      </c>
      <c r="F482">
        <f>Perfiles_jugador[[#This Row],[market_value]]/1000000</f>
        <v>2.7</v>
      </c>
    </row>
    <row r="483" spans="1:6" x14ac:dyDescent="0.3">
      <c r="A483">
        <v>1649919</v>
      </c>
      <c r="B483" t="s">
        <v>486</v>
      </c>
      <c r="C483" t="s">
        <v>7</v>
      </c>
      <c r="D483" t="s">
        <v>1037</v>
      </c>
      <c r="E483">
        <v>1100000</v>
      </c>
      <c r="F483">
        <f>Perfiles_jugador[[#This Row],[market_value]]/1000000</f>
        <v>1.1000000000000001</v>
      </c>
    </row>
    <row r="484" spans="1:6" x14ac:dyDescent="0.3">
      <c r="A484">
        <v>1869106</v>
      </c>
      <c r="B484" t="s">
        <v>487</v>
      </c>
      <c r="C484" t="s">
        <v>7</v>
      </c>
      <c r="D484" t="s">
        <v>1037</v>
      </c>
      <c r="E484">
        <v>960000</v>
      </c>
      <c r="F484">
        <f>Perfiles_jugador[[#This Row],[market_value]]/1000000</f>
        <v>0.96</v>
      </c>
    </row>
    <row r="485" spans="1:6" x14ac:dyDescent="0.3">
      <c r="A485">
        <v>1083832</v>
      </c>
      <c r="B485" t="s">
        <v>488</v>
      </c>
      <c r="C485" t="s">
        <v>7</v>
      </c>
      <c r="D485" t="s">
        <v>1038</v>
      </c>
      <c r="E485">
        <v>1500000</v>
      </c>
      <c r="F485">
        <f>Perfiles_jugador[[#This Row],[market_value]]/1000000</f>
        <v>1.5</v>
      </c>
    </row>
    <row r="486" spans="1:6" x14ac:dyDescent="0.3">
      <c r="A486">
        <v>1010656</v>
      </c>
      <c r="B486" t="s">
        <v>489</v>
      </c>
      <c r="C486" t="s">
        <v>7</v>
      </c>
      <c r="D486" t="s">
        <v>1038</v>
      </c>
      <c r="E486">
        <v>15500000</v>
      </c>
      <c r="F486">
        <f>Perfiles_jugador[[#This Row],[market_value]]/1000000</f>
        <v>15.5</v>
      </c>
    </row>
    <row r="487" spans="1:6" x14ac:dyDescent="0.3">
      <c r="A487">
        <v>859769</v>
      </c>
      <c r="B487" t="s">
        <v>490</v>
      </c>
      <c r="C487" t="s">
        <v>7</v>
      </c>
      <c r="D487" t="s">
        <v>1038</v>
      </c>
      <c r="E487">
        <v>1900000</v>
      </c>
      <c r="F487">
        <f>Perfiles_jugador[[#This Row],[market_value]]/1000000</f>
        <v>1.9</v>
      </c>
    </row>
    <row r="488" spans="1:6" x14ac:dyDescent="0.3">
      <c r="A488">
        <v>1160250</v>
      </c>
      <c r="B488" t="s">
        <v>491</v>
      </c>
      <c r="C488" t="s">
        <v>7</v>
      </c>
      <c r="D488" t="s">
        <v>1038</v>
      </c>
      <c r="E488">
        <v>765000</v>
      </c>
      <c r="F488">
        <f>Perfiles_jugador[[#This Row],[market_value]]/1000000</f>
        <v>0.76500000000000001</v>
      </c>
    </row>
    <row r="489" spans="1:6" x14ac:dyDescent="0.3">
      <c r="A489">
        <v>992331</v>
      </c>
      <c r="B489" t="s">
        <v>492</v>
      </c>
      <c r="C489" t="s">
        <v>7</v>
      </c>
      <c r="D489" t="s">
        <v>1038</v>
      </c>
      <c r="E489">
        <v>1500000</v>
      </c>
      <c r="F489">
        <f>Perfiles_jugador[[#This Row],[market_value]]/1000000</f>
        <v>1.5</v>
      </c>
    </row>
    <row r="490" spans="1:6" x14ac:dyDescent="0.3">
      <c r="A490">
        <v>1170694</v>
      </c>
      <c r="B490" t="s">
        <v>493</v>
      </c>
      <c r="C490" t="s">
        <v>7</v>
      </c>
      <c r="D490" t="s">
        <v>1038</v>
      </c>
      <c r="E490">
        <v>2800000</v>
      </c>
      <c r="F490">
        <f>Perfiles_jugador[[#This Row],[market_value]]/1000000</f>
        <v>2.8</v>
      </c>
    </row>
    <row r="491" spans="1:6" x14ac:dyDescent="0.3">
      <c r="A491">
        <v>1010383</v>
      </c>
      <c r="B491" t="s">
        <v>494</v>
      </c>
      <c r="C491" t="s">
        <v>7</v>
      </c>
      <c r="D491" t="s">
        <v>1038</v>
      </c>
      <c r="E491">
        <v>1900000</v>
      </c>
      <c r="F491">
        <f>Perfiles_jugador[[#This Row],[market_value]]/1000000</f>
        <v>1.9</v>
      </c>
    </row>
    <row r="492" spans="1:6" x14ac:dyDescent="0.3">
      <c r="A492">
        <v>927066</v>
      </c>
      <c r="B492" t="s">
        <v>495</v>
      </c>
      <c r="C492" t="s">
        <v>7</v>
      </c>
      <c r="D492" t="s">
        <v>1038</v>
      </c>
      <c r="E492">
        <v>2100000</v>
      </c>
      <c r="F492">
        <f>Perfiles_jugador[[#This Row],[market_value]]/1000000</f>
        <v>2.1</v>
      </c>
    </row>
    <row r="493" spans="1:6" x14ac:dyDescent="0.3">
      <c r="A493">
        <v>966802</v>
      </c>
      <c r="B493" t="s">
        <v>496</v>
      </c>
      <c r="C493" t="s">
        <v>7</v>
      </c>
      <c r="D493" t="s">
        <v>1038</v>
      </c>
      <c r="E493">
        <v>1900000</v>
      </c>
      <c r="F493">
        <f>Perfiles_jugador[[#This Row],[market_value]]/1000000</f>
        <v>1.9</v>
      </c>
    </row>
    <row r="494" spans="1:6" x14ac:dyDescent="0.3">
      <c r="A494">
        <v>909554</v>
      </c>
      <c r="B494" t="s">
        <v>497</v>
      </c>
      <c r="C494" t="s">
        <v>7</v>
      </c>
      <c r="D494" t="s">
        <v>1038</v>
      </c>
      <c r="E494">
        <v>1900000</v>
      </c>
      <c r="F494">
        <f>Perfiles_jugador[[#This Row],[market_value]]/1000000</f>
        <v>1.9</v>
      </c>
    </row>
    <row r="495" spans="1:6" x14ac:dyDescent="0.3">
      <c r="A495">
        <v>952222</v>
      </c>
      <c r="B495" t="s">
        <v>498</v>
      </c>
      <c r="C495" t="s">
        <v>7</v>
      </c>
      <c r="D495" t="s">
        <v>1038</v>
      </c>
      <c r="E495">
        <v>970000</v>
      </c>
      <c r="F495">
        <f>Perfiles_jugador[[#This Row],[market_value]]/1000000</f>
        <v>0.97</v>
      </c>
    </row>
    <row r="496" spans="1:6" x14ac:dyDescent="0.3">
      <c r="A496">
        <v>1177401</v>
      </c>
      <c r="B496" t="s">
        <v>499</v>
      </c>
      <c r="C496" t="s">
        <v>7</v>
      </c>
      <c r="D496" t="s">
        <v>1039</v>
      </c>
      <c r="E496">
        <v>4099999</v>
      </c>
      <c r="F496">
        <f>Perfiles_jugador[[#This Row],[market_value]]/1000000</f>
        <v>4.0999990000000004</v>
      </c>
    </row>
    <row r="497" spans="1:6" x14ac:dyDescent="0.3">
      <c r="A497">
        <v>1496360</v>
      </c>
      <c r="B497" t="s">
        <v>500</v>
      </c>
      <c r="C497" t="s">
        <v>7</v>
      </c>
      <c r="D497" t="s">
        <v>1039</v>
      </c>
      <c r="E497">
        <v>3900000</v>
      </c>
      <c r="F497">
        <f>Perfiles_jugador[[#This Row],[market_value]]/1000000</f>
        <v>3.9</v>
      </c>
    </row>
    <row r="498" spans="1:6" x14ac:dyDescent="0.3">
      <c r="A498">
        <v>984789</v>
      </c>
      <c r="B498" t="s">
        <v>501</v>
      </c>
      <c r="C498" t="s">
        <v>7</v>
      </c>
      <c r="D498" t="s">
        <v>1039</v>
      </c>
      <c r="E498">
        <v>6400000</v>
      </c>
      <c r="F498">
        <f>Perfiles_jugador[[#This Row],[market_value]]/1000000</f>
        <v>6.4</v>
      </c>
    </row>
    <row r="499" spans="1:6" x14ac:dyDescent="0.3">
      <c r="A499">
        <v>997244</v>
      </c>
      <c r="B499" t="s">
        <v>502</v>
      </c>
      <c r="C499" t="s">
        <v>7</v>
      </c>
      <c r="D499" t="s">
        <v>1039</v>
      </c>
      <c r="E499">
        <v>2100000</v>
      </c>
      <c r="F499">
        <f>Perfiles_jugador[[#This Row],[market_value]]/1000000</f>
        <v>2.1</v>
      </c>
    </row>
    <row r="500" spans="1:6" x14ac:dyDescent="0.3">
      <c r="A500">
        <v>149606</v>
      </c>
      <c r="B500" t="s">
        <v>503</v>
      </c>
      <c r="C500" t="s">
        <v>7</v>
      </c>
      <c r="D500" t="s">
        <v>1039</v>
      </c>
      <c r="E500">
        <v>2100000</v>
      </c>
      <c r="F500">
        <f>Perfiles_jugador[[#This Row],[market_value]]/1000000</f>
        <v>2.1</v>
      </c>
    </row>
    <row r="501" spans="1:6" x14ac:dyDescent="0.3">
      <c r="A501">
        <v>813574</v>
      </c>
      <c r="B501" t="s">
        <v>504</v>
      </c>
      <c r="C501" t="s">
        <v>7</v>
      </c>
      <c r="D501" t="s">
        <v>1039</v>
      </c>
      <c r="E501">
        <v>580000</v>
      </c>
      <c r="F501">
        <f>Perfiles_jugador[[#This Row],[market_value]]/1000000</f>
        <v>0.57999999999999996</v>
      </c>
    </row>
    <row r="502" spans="1:6" x14ac:dyDescent="0.3">
      <c r="A502">
        <v>855837</v>
      </c>
      <c r="B502" t="s">
        <v>505</v>
      </c>
      <c r="C502" t="s">
        <v>7</v>
      </c>
      <c r="D502" t="s">
        <v>1039</v>
      </c>
      <c r="E502">
        <v>1300000</v>
      </c>
      <c r="F502">
        <f>Perfiles_jugador[[#This Row],[market_value]]/1000000</f>
        <v>1.3</v>
      </c>
    </row>
    <row r="503" spans="1:6" x14ac:dyDescent="0.3">
      <c r="A503">
        <v>134029</v>
      </c>
      <c r="B503" t="s">
        <v>506</v>
      </c>
      <c r="C503" t="s">
        <v>7</v>
      </c>
      <c r="D503" t="s">
        <v>1040</v>
      </c>
      <c r="E503">
        <v>1900000</v>
      </c>
      <c r="F503">
        <f>Perfiles_jugador[[#This Row],[market_value]]/1000000</f>
        <v>1.9</v>
      </c>
    </row>
    <row r="504" spans="1:6" x14ac:dyDescent="0.3">
      <c r="A504">
        <v>1085579</v>
      </c>
      <c r="B504" t="s">
        <v>507</v>
      </c>
      <c r="C504" t="s">
        <v>7</v>
      </c>
      <c r="D504" t="s">
        <v>1040</v>
      </c>
      <c r="E504">
        <v>1600000</v>
      </c>
      <c r="F504">
        <f>Perfiles_jugador[[#This Row],[market_value]]/1000000</f>
        <v>1.6</v>
      </c>
    </row>
    <row r="505" spans="1:6" x14ac:dyDescent="0.3">
      <c r="A505">
        <v>1215079</v>
      </c>
      <c r="B505" t="s">
        <v>508</v>
      </c>
      <c r="C505" t="s">
        <v>7</v>
      </c>
      <c r="D505" t="s">
        <v>1040</v>
      </c>
      <c r="E505">
        <v>110000</v>
      </c>
      <c r="F505">
        <f>Perfiles_jugador[[#This Row],[market_value]]/1000000</f>
        <v>0.11</v>
      </c>
    </row>
    <row r="506" spans="1:6" x14ac:dyDescent="0.3">
      <c r="A506">
        <v>976104</v>
      </c>
      <c r="B506" t="s">
        <v>509</v>
      </c>
      <c r="C506" t="s">
        <v>7</v>
      </c>
      <c r="D506" t="s">
        <v>1037</v>
      </c>
      <c r="E506">
        <v>3600000</v>
      </c>
      <c r="F506">
        <f>Perfiles_jugador[[#This Row],[market_value]]/1000000</f>
        <v>3.6</v>
      </c>
    </row>
    <row r="507" spans="1:6" x14ac:dyDescent="0.3">
      <c r="A507">
        <v>1018547</v>
      </c>
      <c r="B507" t="s">
        <v>510</v>
      </c>
      <c r="C507" t="s">
        <v>7</v>
      </c>
      <c r="D507" t="s">
        <v>1037</v>
      </c>
      <c r="E507">
        <v>3800000</v>
      </c>
      <c r="F507">
        <f>Perfiles_jugador[[#This Row],[market_value]]/1000000</f>
        <v>3.8</v>
      </c>
    </row>
    <row r="508" spans="1:6" x14ac:dyDescent="0.3">
      <c r="A508">
        <v>1086128</v>
      </c>
      <c r="B508" t="s">
        <v>511</v>
      </c>
      <c r="C508" t="s">
        <v>7</v>
      </c>
      <c r="D508" t="s">
        <v>1037</v>
      </c>
      <c r="E508">
        <v>720000</v>
      </c>
      <c r="F508">
        <f>Perfiles_jugador[[#This Row],[market_value]]/1000000</f>
        <v>0.72</v>
      </c>
    </row>
    <row r="509" spans="1:6" x14ac:dyDescent="0.3">
      <c r="A509">
        <v>17651</v>
      </c>
      <c r="B509" t="s">
        <v>512</v>
      </c>
      <c r="C509" t="s">
        <v>7</v>
      </c>
      <c r="D509" t="s">
        <v>1038</v>
      </c>
      <c r="E509">
        <v>195000</v>
      </c>
      <c r="F509">
        <f>Perfiles_jugador[[#This Row],[market_value]]/1000000</f>
        <v>0.19500000000000001</v>
      </c>
    </row>
    <row r="510" spans="1:6" x14ac:dyDescent="0.3">
      <c r="A510">
        <v>942836</v>
      </c>
      <c r="B510" t="s">
        <v>513</v>
      </c>
      <c r="C510" t="s">
        <v>7</v>
      </c>
      <c r="D510" t="s">
        <v>1038</v>
      </c>
      <c r="E510">
        <v>5200000</v>
      </c>
      <c r="F510">
        <f>Perfiles_jugador[[#This Row],[market_value]]/1000000</f>
        <v>5.2</v>
      </c>
    </row>
    <row r="511" spans="1:6" x14ac:dyDescent="0.3">
      <c r="A511">
        <v>905639</v>
      </c>
      <c r="B511" t="s">
        <v>514</v>
      </c>
      <c r="C511" t="s">
        <v>7</v>
      </c>
      <c r="D511" t="s">
        <v>1038</v>
      </c>
      <c r="E511">
        <v>1500000</v>
      </c>
      <c r="F511">
        <f>Perfiles_jugador[[#This Row],[market_value]]/1000000</f>
        <v>1.5</v>
      </c>
    </row>
    <row r="512" spans="1:6" x14ac:dyDescent="0.3">
      <c r="A512">
        <v>1008037</v>
      </c>
      <c r="B512" t="s">
        <v>515</v>
      </c>
      <c r="C512" t="s">
        <v>7</v>
      </c>
      <c r="D512" t="s">
        <v>1038</v>
      </c>
      <c r="E512">
        <v>3800000</v>
      </c>
      <c r="F512">
        <f>Perfiles_jugador[[#This Row],[market_value]]/1000000</f>
        <v>3.8</v>
      </c>
    </row>
    <row r="513" spans="1:6" x14ac:dyDescent="0.3">
      <c r="A513">
        <v>190405</v>
      </c>
      <c r="B513" t="s">
        <v>516</v>
      </c>
      <c r="C513" t="s">
        <v>7</v>
      </c>
      <c r="D513" t="s">
        <v>1038</v>
      </c>
      <c r="E513">
        <v>3700000</v>
      </c>
      <c r="F513">
        <f>Perfiles_jugador[[#This Row],[market_value]]/1000000</f>
        <v>3.7</v>
      </c>
    </row>
    <row r="514" spans="1:6" x14ac:dyDescent="0.3">
      <c r="A514">
        <v>1201412</v>
      </c>
      <c r="B514" t="s">
        <v>517</v>
      </c>
      <c r="C514" t="s">
        <v>7</v>
      </c>
      <c r="D514" t="s">
        <v>1038</v>
      </c>
      <c r="E514">
        <v>4700000</v>
      </c>
      <c r="F514">
        <f>Perfiles_jugador[[#This Row],[market_value]]/1000000</f>
        <v>4.7</v>
      </c>
    </row>
    <row r="515" spans="1:6" x14ac:dyDescent="0.3">
      <c r="A515">
        <v>885664</v>
      </c>
      <c r="B515" t="s">
        <v>518</v>
      </c>
      <c r="C515" t="s">
        <v>7</v>
      </c>
      <c r="D515" t="s">
        <v>1038</v>
      </c>
      <c r="E515">
        <v>2100000</v>
      </c>
      <c r="F515">
        <f>Perfiles_jugador[[#This Row],[market_value]]/1000000</f>
        <v>2.1</v>
      </c>
    </row>
    <row r="516" spans="1:6" x14ac:dyDescent="0.3">
      <c r="A516">
        <v>944629</v>
      </c>
      <c r="B516" t="s">
        <v>519</v>
      </c>
      <c r="C516" t="s">
        <v>7</v>
      </c>
      <c r="D516" t="s">
        <v>1038</v>
      </c>
      <c r="E516">
        <v>2900000</v>
      </c>
      <c r="F516">
        <f>Perfiles_jugador[[#This Row],[market_value]]/1000000</f>
        <v>2.9</v>
      </c>
    </row>
    <row r="517" spans="1:6" x14ac:dyDescent="0.3">
      <c r="A517">
        <v>822379</v>
      </c>
      <c r="B517" t="s">
        <v>520</v>
      </c>
      <c r="C517" t="s">
        <v>7</v>
      </c>
      <c r="D517" t="s">
        <v>1038</v>
      </c>
      <c r="E517">
        <v>3100000</v>
      </c>
      <c r="F517">
        <f>Perfiles_jugador[[#This Row],[market_value]]/1000000</f>
        <v>3.1</v>
      </c>
    </row>
    <row r="518" spans="1:6" x14ac:dyDescent="0.3">
      <c r="A518">
        <v>882475</v>
      </c>
      <c r="B518" t="s">
        <v>521</v>
      </c>
      <c r="C518" t="s">
        <v>7</v>
      </c>
      <c r="D518" t="s">
        <v>1038</v>
      </c>
      <c r="E518">
        <v>1400000</v>
      </c>
      <c r="F518">
        <f>Perfiles_jugador[[#This Row],[market_value]]/1000000</f>
        <v>1.4</v>
      </c>
    </row>
    <row r="519" spans="1:6" x14ac:dyDescent="0.3">
      <c r="A519">
        <v>845025</v>
      </c>
      <c r="B519" t="s">
        <v>522</v>
      </c>
      <c r="C519" t="s">
        <v>7</v>
      </c>
      <c r="D519" t="s">
        <v>1038</v>
      </c>
      <c r="E519">
        <v>535000</v>
      </c>
      <c r="F519">
        <f>Perfiles_jugador[[#This Row],[market_value]]/1000000</f>
        <v>0.53500000000000003</v>
      </c>
    </row>
    <row r="520" spans="1:6" x14ac:dyDescent="0.3">
      <c r="A520">
        <v>1587199</v>
      </c>
      <c r="B520" t="s">
        <v>523</v>
      </c>
      <c r="C520" t="s">
        <v>7</v>
      </c>
      <c r="D520" t="s">
        <v>1038</v>
      </c>
      <c r="E520">
        <v>23000</v>
      </c>
      <c r="F520">
        <f>Perfiles_jugador[[#This Row],[market_value]]/1000000</f>
        <v>2.3E-2</v>
      </c>
    </row>
    <row r="521" spans="1:6" x14ac:dyDescent="0.3">
      <c r="A521">
        <v>606346</v>
      </c>
      <c r="B521" t="s">
        <v>524</v>
      </c>
      <c r="C521" t="s">
        <v>7</v>
      </c>
      <c r="D521" t="s">
        <v>1039</v>
      </c>
      <c r="E521">
        <v>1500000</v>
      </c>
      <c r="F521">
        <f>Perfiles_jugador[[#This Row],[market_value]]/1000000</f>
        <v>1.5</v>
      </c>
    </row>
    <row r="522" spans="1:6" x14ac:dyDescent="0.3">
      <c r="A522">
        <v>1120504</v>
      </c>
      <c r="B522" t="s">
        <v>525</v>
      </c>
      <c r="C522" t="s">
        <v>7</v>
      </c>
      <c r="D522" t="s">
        <v>1039</v>
      </c>
      <c r="E522">
        <v>1900000</v>
      </c>
      <c r="F522">
        <f>Perfiles_jugador[[#This Row],[market_value]]/1000000</f>
        <v>1.9</v>
      </c>
    </row>
    <row r="523" spans="1:6" x14ac:dyDescent="0.3">
      <c r="A523">
        <v>892235</v>
      </c>
      <c r="B523" t="s">
        <v>526</v>
      </c>
      <c r="C523" t="s">
        <v>7</v>
      </c>
      <c r="D523" t="s">
        <v>1039</v>
      </c>
      <c r="E523">
        <v>9200000</v>
      </c>
      <c r="F523">
        <f>Perfiles_jugador[[#This Row],[market_value]]/1000000</f>
        <v>9.1999999999999993</v>
      </c>
    </row>
    <row r="524" spans="1:6" x14ac:dyDescent="0.3">
      <c r="A524">
        <v>945404</v>
      </c>
      <c r="B524" t="s">
        <v>527</v>
      </c>
      <c r="C524" t="s">
        <v>7</v>
      </c>
      <c r="D524" t="s">
        <v>1039</v>
      </c>
      <c r="E524">
        <v>5400000</v>
      </c>
      <c r="F524">
        <f>Perfiles_jugador[[#This Row],[market_value]]/1000000</f>
        <v>5.4</v>
      </c>
    </row>
    <row r="525" spans="1:6" x14ac:dyDescent="0.3">
      <c r="A525">
        <v>844752</v>
      </c>
      <c r="B525" t="s">
        <v>528</v>
      </c>
      <c r="C525" t="s">
        <v>7</v>
      </c>
      <c r="D525" t="s">
        <v>1039</v>
      </c>
      <c r="E525">
        <v>1700000</v>
      </c>
      <c r="F525">
        <f>Perfiles_jugador[[#This Row],[market_value]]/1000000</f>
        <v>1.7</v>
      </c>
    </row>
    <row r="526" spans="1:6" x14ac:dyDescent="0.3">
      <c r="A526">
        <v>345333</v>
      </c>
      <c r="B526" t="s">
        <v>529</v>
      </c>
      <c r="C526" t="s">
        <v>7</v>
      </c>
      <c r="D526" t="s">
        <v>1039</v>
      </c>
      <c r="E526">
        <v>1500000</v>
      </c>
      <c r="F526">
        <f>Perfiles_jugador[[#This Row],[market_value]]/1000000</f>
        <v>1.5</v>
      </c>
    </row>
    <row r="527" spans="1:6" x14ac:dyDescent="0.3">
      <c r="A527">
        <v>560756</v>
      </c>
      <c r="B527" t="s">
        <v>530</v>
      </c>
      <c r="C527" t="s">
        <v>7</v>
      </c>
      <c r="D527" t="s">
        <v>1039</v>
      </c>
      <c r="E527">
        <v>940000</v>
      </c>
      <c r="F527">
        <f>Perfiles_jugador[[#This Row],[market_value]]/1000000</f>
        <v>0.94</v>
      </c>
    </row>
    <row r="528" spans="1:6" x14ac:dyDescent="0.3">
      <c r="A528">
        <v>597876</v>
      </c>
      <c r="B528" t="s">
        <v>531</v>
      </c>
      <c r="C528" t="s">
        <v>7</v>
      </c>
      <c r="D528" t="s">
        <v>1039</v>
      </c>
      <c r="E528">
        <v>750000</v>
      </c>
      <c r="F528">
        <f>Perfiles_jugador[[#This Row],[market_value]]/1000000</f>
        <v>0.75</v>
      </c>
    </row>
    <row r="529" spans="1:6" x14ac:dyDescent="0.3">
      <c r="A529">
        <v>2507465</v>
      </c>
      <c r="B529" t="s">
        <v>532</v>
      </c>
      <c r="C529" t="s">
        <v>7</v>
      </c>
      <c r="D529" t="s">
        <v>1039</v>
      </c>
      <c r="E529">
        <v>24000</v>
      </c>
      <c r="F529">
        <f>Perfiles_jugador[[#This Row],[market_value]]/1000000</f>
        <v>2.4E-2</v>
      </c>
    </row>
    <row r="530" spans="1:6" x14ac:dyDescent="0.3">
      <c r="A530">
        <v>857065</v>
      </c>
      <c r="B530" t="s">
        <v>533</v>
      </c>
      <c r="C530" t="s">
        <v>7</v>
      </c>
      <c r="D530" t="s">
        <v>1040</v>
      </c>
      <c r="E530">
        <v>2100000</v>
      </c>
      <c r="F530">
        <f>Perfiles_jugador[[#This Row],[market_value]]/1000000</f>
        <v>2.1</v>
      </c>
    </row>
    <row r="531" spans="1:6" x14ac:dyDescent="0.3">
      <c r="A531">
        <v>368922</v>
      </c>
      <c r="B531" t="s">
        <v>534</v>
      </c>
      <c r="C531" t="s">
        <v>7</v>
      </c>
      <c r="D531" t="s">
        <v>1040</v>
      </c>
      <c r="E531">
        <v>1900000</v>
      </c>
      <c r="F531">
        <f>Perfiles_jugador[[#This Row],[market_value]]/1000000</f>
        <v>1.9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EA967-50D7-4EC7-9542-9E00E1765BD3}">
  <dimension ref="A1:S488"/>
  <sheetViews>
    <sheetView topLeftCell="D457" workbookViewId="0">
      <selection activeCell="E18" sqref="E18"/>
    </sheetView>
  </sheetViews>
  <sheetFormatPr baseColWidth="10" defaultRowHeight="14.4" x14ac:dyDescent="0.3"/>
  <cols>
    <col min="1" max="1" width="10.88671875" bestFit="1" customWidth="1"/>
    <col min="2" max="2" width="8.6640625" bestFit="1" customWidth="1"/>
    <col min="3" max="3" width="14" bestFit="1" customWidth="1"/>
    <col min="4" max="4" width="17.21875" bestFit="1" customWidth="1"/>
    <col min="5" max="5" width="16.44140625" bestFit="1" customWidth="1"/>
    <col min="6" max="6" width="9.77734375" bestFit="1" customWidth="1"/>
    <col min="7" max="7" width="9" bestFit="1" customWidth="1"/>
    <col min="8" max="8" width="16.109375" bestFit="1" customWidth="1"/>
    <col min="9" max="9" width="17.5546875" bestFit="1" customWidth="1"/>
    <col min="10" max="10" width="12" bestFit="1" customWidth="1"/>
    <col min="11" max="11" width="12.33203125" bestFit="1" customWidth="1"/>
    <col min="12" max="12" width="16.109375" bestFit="1" customWidth="1"/>
    <col min="13" max="13" width="14" bestFit="1" customWidth="1"/>
    <col min="14" max="14" width="11.44140625" bestFit="1" customWidth="1"/>
    <col min="15" max="15" width="9.33203125" bestFit="1" customWidth="1"/>
    <col min="16" max="16" width="14.33203125" bestFit="1" customWidth="1"/>
    <col min="17" max="17" width="7.88671875" bestFit="1" customWidth="1"/>
  </cols>
  <sheetData>
    <row r="1" spans="1:19" x14ac:dyDescent="0.3">
      <c r="A1" t="s">
        <v>0</v>
      </c>
      <c r="B1" t="s">
        <v>2</v>
      </c>
      <c r="C1" t="s">
        <v>535</v>
      </c>
      <c r="D1" t="s">
        <v>536</v>
      </c>
      <c r="E1" t="s">
        <v>537</v>
      </c>
      <c r="F1" t="s">
        <v>1058</v>
      </c>
      <c r="G1" t="s">
        <v>538</v>
      </c>
      <c r="H1" t="s">
        <v>539</v>
      </c>
      <c r="I1" t="s">
        <v>540</v>
      </c>
      <c r="J1" t="s">
        <v>541</v>
      </c>
      <c r="K1" t="s">
        <v>542</v>
      </c>
      <c r="L1" t="s">
        <v>543</v>
      </c>
      <c r="M1" t="s">
        <v>544</v>
      </c>
      <c r="N1" t="s">
        <v>545</v>
      </c>
      <c r="O1" t="s">
        <v>546</v>
      </c>
      <c r="P1" t="s">
        <v>547</v>
      </c>
      <c r="Q1" t="s">
        <v>548</v>
      </c>
      <c r="R1" t="s">
        <v>1063</v>
      </c>
      <c r="S1" t="s">
        <v>549</v>
      </c>
    </row>
    <row r="2" spans="1:19" x14ac:dyDescent="0.3">
      <c r="A2" t="s">
        <v>550</v>
      </c>
      <c r="B2" t="s">
        <v>7</v>
      </c>
      <c r="C2">
        <v>24</v>
      </c>
      <c r="D2">
        <v>12</v>
      </c>
      <c r="E2">
        <v>1187</v>
      </c>
      <c r="F2" t="str">
        <f>IF(Estadisticas_jugador[[#This Row],[minutes_played]]&gt;900, "Si", "No")</f>
        <v>Si</v>
      </c>
      <c r="G2">
        <v>11</v>
      </c>
      <c r="H2">
        <v>1</v>
      </c>
      <c r="I2">
        <v>12.2942</v>
      </c>
      <c r="J2">
        <v>1.0136834699999999</v>
      </c>
      <c r="K2">
        <v>6.7833333333333004</v>
      </c>
      <c r="L2">
        <v>54</v>
      </c>
      <c r="M2">
        <v>25</v>
      </c>
      <c r="N2">
        <v>2</v>
      </c>
      <c r="O2">
        <v>0</v>
      </c>
      <c r="P2">
        <v>5</v>
      </c>
      <c r="Q2">
        <v>2</v>
      </c>
      <c r="R2">
        <f>Estadisticas_jugador[[#This Row],[tackles]]+Estadisticas_jugador[[#This Row],[interceptions]]</f>
        <v>7</v>
      </c>
      <c r="S2">
        <v>0</v>
      </c>
    </row>
    <row r="3" spans="1:19" x14ac:dyDescent="0.3">
      <c r="A3" t="s">
        <v>551</v>
      </c>
      <c r="B3" t="s">
        <v>7</v>
      </c>
      <c r="C3">
        <v>26</v>
      </c>
      <c r="D3">
        <v>19</v>
      </c>
      <c r="E3">
        <v>1576</v>
      </c>
      <c r="F3" t="str">
        <f>IF(Estadisticas_jugador[[#This Row],[minutes_played]]&gt;900, "Si", "No")</f>
        <v>Si</v>
      </c>
      <c r="G3">
        <v>12</v>
      </c>
      <c r="H3">
        <v>1</v>
      </c>
      <c r="I3">
        <v>11.570600000000001</v>
      </c>
      <c r="J3">
        <v>1.34979216</v>
      </c>
      <c r="K3">
        <v>6.7884615384615001</v>
      </c>
      <c r="L3">
        <v>57</v>
      </c>
      <c r="M3">
        <v>28</v>
      </c>
      <c r="N3">
        <v>2</v>
      </c>
      <c r="O3">
        <v>0</v>
      </c>
      <c r="P3">
        <v>5</v>
      </c>
      <c r="Q3">
        <v>3</v>
      </c>
      <c r="R3">
        <f>Estadisticas_jugador[[#This Row],[tackles]]+Estadisticas_jugador[[#This Row],[interceptions]]</f>
        <v>8</v>
      </c>
      <c r="S3">
        <v>0</v>
      </c>
    </row>
    <row r="4" spans="1:19" x14ac:dyDescent="0.3">
      <c r="A4" t="s">
        <v>552</v>
      </c>
      <c r="B4" t="s">
        <v>7</v>
      </c>
      <c r="C4">
        <v>16</v>
      </c>
      <c r="D4">
        <v>4</v>
      </c>
      <c r="E4">
        <v>404</v>
      </c>
      <c r="F4" t="str">
        <f>IF(Estadisticas_jugador[[#This Row],[minutes_played]]&gt;900, "Si", "No")</f>
        <v>No</v>
      </c>
      <c r="G4">
        <v>1</v>
      </c>
      <c r="H4">
        <v>1</v>
      </c>
      <c r="I4">
        <v>1.2111000000000001</v>
      </c>
      <c r="J4">
        <v>1.1694344800000001</v>
      </c>
      <c r="K4">
        <v>6.7384615384615003</v>
      </c>
      <c r="L4">
        <v>16</v>
      </c>
      <c r="M4">
        <v>10</v>
      </c>
      <c r="N4">
        <v>0</v>
      </c>
      <c r="O4">
        <v>0</v>
      </c>
      <c r="P4">
        <v>3</v>
      </c>
      <c r="Q4">
        <v>0</v>
      </c>
      <c r="R4">
        <f>Estadisticas_jugador[[#This Row],[tackles]]+Estadisticas_jugador[[#This Row],[interceptions]]</f>
        <v>3</v>
      </c>
      <c r="S4">
        <v>0</v>
      </c>
    </row>
    <row r="5" spans="1:19" x14ac:dyDescent="0.3">
      <c r="A5" t="s">
        <v>553</v>
      </c>
      <c r="B5" t="s">
        <v>7</v>
      </c>
      <c r="C5">
        <v>25</v>
      </c>
      <c r="D5">
        <v>23</v>
      </c>
      <c r="E5">
        <v>2044</v>
      </c>
      <c r="F5" t="str">
        <f>IF(Estadisticas_jugador[[#This Row],[minutes_played]]&gt;900, "Si", "No")</f>
        <v>Si</v>
      </c>
      <c r="G5">
        <v>14</v>
      </c>
      <c r="H5">
        <v>9</v>
      </c>
      <c r="I5">
        <v>10.0974</v>
      </c>
      <c r="J5">
        <v>8.9884667599999997</v>
      </c>
      <c r="K5">
        <v>7.8840000000000003</v>
      </c>
      <c r="L5">
        <v>99</v>
      </c>
      <c r="M5">
        <v>34</v>
      </c>
      <c r="N5">
        <v>1</v>
      </c>
      <c r="O5">
        <v>0</v>
      </c>
      <c r="P5">
        <v>34</v>
      </c>
      <c r="Q5">
        <v>10</v>
      </c>
      <c r="R5">
        <f>Estadisticas_jugador[[#This Row],[tackles]]+Estadisticas_jugador[[#This Row],[interceptions]]</f>
        <v>44</v>
      </c>
      <c r="S5">
        <v>0</v>
      </c>
    </row>
    <row r="6" spans="1:19" x14ac:dyDescent="0.3">
      <c r="A6" t="s">
        <v>554</v>
      </c>
      <c r="B6" t="s">
        <v>7</v>
      </c>
      <c r="C6">
        <v>20</v>
      </c>
      <c r="D6">
        <v>17</v>
      </c>
      <c r="E6">
        <v>1299</v>
      </c>
      <c r="F6" t="str">
        <f>IF(Estadisticas_jugador[[#This Row],[minutes_played]]&gt;900, "Si", "No")</f>
        <v>Si</v>
      </c>
      <c r="G6">
        <v>11</v>
      </c>
      <c r="H6">
        <v>3</v>
      </c>
      <c r="I6">
        <v>9.7871000000000006</v>
      </c>
      <c r="J6">
        <v>5.5532837199999996</v>
      </c>
      <c r="K6">
        <v>7.45</v>
      </c>
      <c r="L6">
        <v>58</v>
      </c>
      <c r="M6">
        <v>19</v>
      </c>
      <c r="N6">
        <v>4</v>
      </c>
      <c r="O6">
        <v>0</v>
      </c>
      <c r="P6">
        <v>13</v>
      </c>
      <c r="Q6">
        <v>4</v>
      </c>
      <c r="R6">
        <f>Estadisticas_jugador[[#This Row],[tackles]]+Estadisticas_jugador[[#This Row],[interceptions]]</f>
        <v>17</v>
      </c>
      <c r="S6">
        <v>0</v>
      </c>
    </row>
    <row r="7" spans="1:19" x14ac:dyDescent="0.3">
      <c r="A7" t="s">
        <v>555</v>
      </c>
      <c r="B7" t="s">
        <v>7</v>
      </c>
      <c r="C7">
        <v>21</v>
      </c>
      <c r="D7">
        <v>16</v>
      </c>
      <c r="E7">
        <v>1453</v>
      </c>
      <c r="F7" t="str">
        <f>IF(Estadisticas_jugador[[#This Row],[minutes_played]]&gt;900, "Si", "No")</f>
        <v>Si</v>
      </c>
      <c r="G7">
        <v>2</v>
      </c>
      <c r="H7">
        <v>7</v>
      </c>
      <c r="I7">
        <v>1.4782</v>
      </c>
      <c r="J7">
        <v>3.6368669699999998</v>
      </c>
      <c r="K7">
        <v>7.5666666666667002</v>
      </c>
      <c r="L7">
        <v>17</v>
      </c>
      <c r="M7">
        <v>9</v>
      </c>
      <c r="N7">
        <v>0</v>
      </c>
      <c r="O7">
        <v>1</v>
      </c>
      <c r="P7">
        <v>37</v>
      </c>
      <c r="Q7">
        <v>18</v>
      </c>
      <c r="R7">
        <f>Estadisticas_jugador[[#This Row],[tackles]]+Estadisticas_jugador[[#This Row],[interceptions]]</f>
        <v>55</v>
      </c>
      <c r="S7">
        <v>0</v>
      </c>
    </row>
    <row r="8" spans="1:19" x14ac:dyDescent="0.3">
      <c r="A8" t="s">
        <v>556</v>
      </c>
      <c r="B8" t="s">
        <v>7</v>
      </c>
      <c r="C8">
        <v>24</v>
      </c>
      <c r="D8">
        <v>14</v>
      </c>
      <c r="E8">
        <v>1337</v>
      </c>
      <c r="F8" t="str">
        <f>IF(Estadisticas_jugador[[#This Row],[minutes_played]]&gt;900, "Si", "No")</f>
        <v>Si</v>
      </c>
      <c r="G8">
        <v>4</v>
      </c>
      <c r="H8">
        <v>6</v>
      </c>
      <c r="I8">
        <v>5.8376000000000001</v>
      </c>
      <c r="J8">
        <v>3.7851221499999999</v>
      </c>
      <c r="K8">
        <v>6.7833333333333004</v>
      </c>
      <c r="L8">
        <v>65</v>
      </c>
      <c r="M8">
        <v>22</v>
      </c>
      <c r="N8">
        <v>2</v>
      </c>
      <c r="O8">
        <v>0</v>
      </c>
      <c r="P8">
        <v>8</v>
      </c>
      <c r="Q8">
        <v>1</v>
      </c>
      <c r="R8">
        <f>Estadisticas_jugador[[#This Row],[tackles]]+Estadisticas_jugador[[#This Row],[interceptions]]</f>
        <v>9</v>
      </c>
      <c r="S8">
        <v>0</v>
      </c>
    </row>
    <row r="9" spans="1:19" x14ac:dyDescent="0.3">
      <c r="A9" t="s">
        <v>557</v>
      </c>
      <c r="B9" t="s">
        <v>7</v>
      </c>
      <c r="C9">
        <v>3</v>
      </c>
      <c r="D9">
        <v>0</v>
      </c>
      <c r="E9">
        <v>74</v>
      </c>
      <c r="F9" t="str">
        <f>IF(Estadisticas_jugador[[#This Row],[minutes_played]]&gt;900, "Si", "No")</f>
        <v>No</v>
      </c>
      <c r="G9">
        <v>0</v>
      </c>
      <c r="H9">
        <v>1</v>
      </c>
      <c r="J9">
        <v>9.4173699999999999E-2</v>
      </c>
      <c r="K9">
        <v>6.8333333333333002</v>
      </c>
      <c r="L9">
        <v>0</v>
      </c>
      <c r="M9">
        <v>0</v>
      </c>
      <c r="N9">
        <v>0</v>
      </c>
      <c r="O9">
        <v>0</v>
      </c>
      <c r="P9">
        <v>2</v>
      </c>
      <c r="Q9">
        <v>1</v>
      </c>
      <c r="R9">
        <f>Estadisticas_jugador[[#This Row],[tackles]]+Estadisticas_jugador[[#This Row],[interceptions]]</f>
        <v>3</v>
      </c>
      <c r="S9">
        <v>0</v>
      </c>
    </row>
    <row r="10" spans="1:19" x14ac:dyDescent="0.3">
      <c r="A10" t="s">
        <v>558</v>
      </c>
      <c r="B10" t="s">
        <v>7</v>
      </c>
      <c r="C10">
        <v>19</v>
      </c>
      <c r="D10">
        <v>16</v>
      </c>
      <c r="E10">
        <v>1496</v>
      </c>
      <c r="F10" t="str">
        <f>IF(Estadisticas_jugador[[#This Row],[minutes_played]]&gt;900, "Si", "No")</f>
        <v>Si</v>
      </c>
      <c r="G10">
        <v>1</v>
      </c>
      <c r="H10">
        <v>4</v>
      </c>
      <c r="I10">
        <v>1.1694</v>
      </c>
      <c r="J10">
        <v>3.3384397799999999</v>
      </c>
      <c r="K10">
        <v>7.4105263157895003</v>
      </c>
      <c r="L10">
        <v>7</v>
      </c>
      <c r="M10">
        <v>2</v>
      </c>
      <c r="N10">
        <v>4</v>
      </c>
      <c r="O10">
        <v>1</v>
      </c>
      <c r="P10">
        <v>39</v>
      </c>
      <c r="Q10">
        <v>17</v>
      </c>
      <c r="R10">
        <f>Estadisticas_jugador[[#This Row],[tackles]]+Estadisticas_jugador[[#This Row],[interceptions]]</f>
        <v>56</v>
      </c>
      <c r="S10">
        <v>0</v>
      </c>
    </row>
    <row r="11" spans="1:19" x14ac:dyDescent="0.3">
      <c r="A11" t="s">
        <v>559</v>
      </c>
      <c r="B11" t="s">
        <v>7</v>
      </c>
      <c r="C11">
        <v>24</v>
      </c>
      <c r="D11">
        <v>17</v>
      </c>
      <c r="E11">
        <v>1515</v>
      </c>
      <c r="F11" t="str">
        <f>IF(Estadisticas_jugador[[#This Row],[minutes_played]]&gt;900, "Si", "No")</f>
        <v>Si</v>
      </c>
      <c r="G11">
        <v>7</v>
      </c>
      <c r="H11">
        <v>6</v>
      </c>
      <c r="I11">
        <v>6.6284999999999998</v>
      </c>
      <c r="J11">
        <v>4.4181302499999999</v>
      </c>
      <c r="K11">
        <v>7.1624999999999996</v>
      </c>
      <c r="L11">
        <v>59</v>
      </c>
      <c r="M11">
        <v>20</v>
      </c>
      <c r="N11">
        <v>0</v>
      </c>
      <c r="O11">
        <v>0</v>
      </c>
      <c r="P11">
        <v>28</v>
      </c>
      <c r="Q11">
        <v>13</v>
      </c>
      <c r="R11">
        <f>Estadisticas_jugador[[#This Row],[tackles]]+Estadisticas_jugador[[#This Row],[interceptions]]</f>
        <v>41</v>
      </c>
      <c r="S11">
        <v>0</v>
      </c>
    </row>
    <row r="12" spans="1:19" x14ac:dyDescent="0.3">
      <c r="A12" t="s">
        <v>560</v>
      </c>
      <c r="B12" t="s">
        <v>7</v>
      </c>
      <c r="C12">
        <v>23</v>
      </c>
      <c r="D12">
        <v>13</v>
      </c>
      <c r="E12">
        <v>1318</v>
      </c>
      <c r="F12" t="str">
        <f>IF(Estadisticas_jugador[[#This Row],[minutes_played]]&gt;900, "Si", "No")</f>
        <v>Si</v>
      </c>
      <c r="G12">
        <v>5</v>
      </c>
      <c r="H12">
        <v>8</v>
      </c>
      <c r="I12">
        <v>5.0212000000000003</v>
      </c>
      <c r="J12">
        <v>3.6848660799999999</v>
      </c>
      <c r="K12">
        <v>7.0608695652174003</v>
      </c>
      <c r="L12">
        <v>49</v>
      </c>
      <c r="M12">
        <v>17</v>
      </c>
      <c r="N12">
        <v>2</v>
      </c>
      <c r="O12">
        <v>0</v>
      </c>
      <c r="P12">
        <v>32</v>
      </c>
      <c r="Q12">
        <v>6</v>
      </c>
      <c r="R12">
        <f>Estadisticas_jugador[[#This Row],[tackles]]+Estadisticas_jugador[[#This Row],[interceptions]]</f>
        <v>38</v>
      </c>
      <c r="S12">
        <v>0</v>
      </c>
    </row>
    <row r="13" spans="1:19" x14ac:dyDescent="0.3">
      <c r="A13" t="s">
        <v>561</v>
      </c>
      <c r="B13" t="s">
        <v>7</v>
      </c>
      <c r="C13">
        <v>16</v>
      </c>
      <c r="D13">
        <v>6</v>
      </c>
      <c r="E13">
        <v>505</v>
      </c>
      <c r="F13" t="str">
        <f>IF(Estadisticas_jugador[[#This Row],[minutes_played]]&gt;900, "Si", "No")</f>
        <v>No</v>
      </c>
      <c r="G13">
        <v>2</v>
      </c>
      <c r="H13">
        <v>1</v>
      </c>
      <c r="I13">
        <v>0.75480000000000003</v>
      </c>
      <c r="J13">
        <v>0.45171544000000002</v>
      </c>
      <c r="K13">
        <v>6.9428571428571004</v>
      </c>
      <c r="L13">
        <v>5</v>
      </c>
      <c r="M13">
        <v>2</v>
      </c>
      <c r="N13">
        <v>4</v>
      </c>
      <c r="O13">
        <v>0</v>
      </c>
      <c r="P13">
        <v>17</v>
      </c>
      <c r="Q13">
        <v>6</v>
      </c>
      <c r="R13">
        <f>Estadisticas_jugador[[#This Row],[tackles]]+Estadisticas_jugador[[#This Row],[interceptions]]</f>
        <v>23</v>
      </c>
      <c r="S13">
        <v>0</v>
      </c>
    </row>
    <row r="14" spans="1:19" x14ac:dyDescent="0.3">
      <c r="A14" t="s">
        <v>562</v>
      </c>
      <c r="B14" t="s">
        <v>7</v>
      </c>
      <c r="C14">
        <v>19</v>
      </c>
      <c r="D14">
        <v>9</v>
      </c>
      <c r="E14">
        <v>865</v>
      </c>
      <c r="F14" t="str">
        <f>IF(Estadisticas_jugador[[#This Row],[minutes_played]]&gt;900, "Si", "No")</f>
        <v>No</v>
      </c>
      <c r="G14">
        <v>0</v>
      </c>
      <c r="H14">
        <v>1</v>
      </c>
      <c r="I14">
        <v>0.48359999999999997</v>
      </c>
      <c r="J14">
        <v>0.62212075</v>
      </c>
      <c r="K14">
        <v>6.7411764705881998</v>
      </c>
      <c r="L14">
        <v>9</v>
      </c>
      <c r="M14">
        <v>0</v>
      </c>
      <c r="N14">
        <v>0</v>
      </c>
      <c r="O14">
        <v>0</v>
      </c>
      <c r="P14">
        <v>16</v>
      </c>
      <c r="Q14">
        <v>7</v>
      </c>
      <c r="R14">
        <f>Estadisticas_jugador[[#This Row],[tackles]]+Estadisticas_jugador[[#This Row],[interceptions]]</f>
        <v>23</v>
      </c>
      <c r="S14">
        <v>0</v>
      </c>
    </row>
    <row r="15" spans="1:19" x14ac:dyDescent="0.3">
      <c r="A15" t="s">
        <v>563</v>
      </c>
      <c r="B15" t="s">
        <v>7</v>
      </c>
      <c r="C15">
        <v>1</v>
      </c>
      <c r="D15">
        <v>0</v>
      </c>
      <c r="E15">
        <v>9</v>
      </c>
      <c r="F15" t="str">
        <f>IF(Estadisticas_jugador[[#This Row],[minutes_played]]&gt;900, "Si", "No")</f>
        <v>No</v>
      </c>
      <c r="G15">
        <v>0</v>
      </c>
      <c r="H15">
        <v>0</v>
      </c>
      <c r="J15">
        <v>1.64371E-3</v>
      </c>
      <c r="K15">
        <v>6.5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f>Estadisticas_jugador[[#This Row],[tackles]]+Estadisticas_jugador[[#This Row],[interceptions]]</f>
        <v>0</v>
      </c>
      <c r="S15">
        <v>0</v>
      </c>
    </row>
    <row r="16" spans="1:19" x14ac:dyDescent="0.3">
      <c r="A16" t="s">
        <v>564</v>
      </c>
      <c r="B16" t="s">
        <v>7</v>
      </c>
      <c r="C16">
        <v>24</v>
      </c>
      <c r="D16">
        <v>24</v>
      </c>
      <c r="E16">
        <v>2106</v>
      </c>
      <c r="F16" t="str">
        <f>IF(Estadisticas_jugador[[#This Row],[minutes_played]]&gt;900, "Si", "No")</f>
        <v>Si</v>
      </c>
      <c r="G16">
        <v>1</v>
      </c>
      <c r="H16">
        <v>0</v>
      </c>
      <c r="I16">
        <v>0.53890000000000005</v>
      </c>
      <c r="J16">
        <v>0.59828802000000003</v>
      </c>
      <c r="K16">
        <v>7.1083333333332996</v>
      </c>
      <c r="L16">
        <v>10</v>
      </c>
      <c r="M16">
        <v>2</v>
      </c>
      <c r="N16">
        <v>3</v>
      </c>
      <c r="O16">
        <v>0</v>
      </c>
      <c r="P16">
        <v>30</v>
      </c>
      <c r="Q16">
        <v>25</v>
      </c>
      <c r="R16">
        <f>Estadisticas_jugador[[#This Row],[tackles]]+Estadisticas_jugador[[#This Row],[interceptions]]</f>
        <v>55</v>
      </c>
      <c r="S16">
        <v>0</v>
      </c>
    </row>
    <row r="17" spans="1:19" x14ac:dyDescent="0.3">
      <c r="A17" t="s">
        <v>565</v>
      </c>
      <c r="B17" t="s">
        <v>7</v>
      </c>
      <c r="C17">
        <v>25</v>
      </c>
      <c r="D17">
        <v>20</v>
      </c>
      <c r="E17">
        <v>1911</v>
      </c>
      <c r="F17" t="str">
        <f>IF(Estadisticas_jugador[[#This Row],[minutes_played]]&gt;900, "Si", "No")</f>
        <v>Si</v>
      </c>
      <c r="G17">
        <v>1</v>
      </c>
      <c r="H17">
        <v>3</v>
      </c>
      <c r="I17">
        <v>1.6081000000000001</v>
      </c>
      <c r="J17">
        <v>3.0582878099999999</v>
      </c>
      <c r="K17">
        <v>6.9039999999999999</v>
      </c>
      <c r="L17">
        <v>12</v>
      </c>
      <c r="M17">
        <v>3</v>
      </c>
      <c r="N17">
        <v>4</v>
      </c>
      <c r="O17">
        <v>0</v>
      </c>
      <c r="P17">
        <v>42</v>
      </c>
      <c r="Q17">
        <v>25</v>
      </c>
      <c r="R17">
        <f>Estadisticas_jugador[[#This Row],[tackles]]+Estadisticas_jugador[[#This Row],[interceptions]]</f>
        <v>67</v>
      </c>
      <c r="S17">
        <v>0</v>
      </c>
    </row>
    <row r="18" spans="1:19" x14ac:dyDescent="0.3">
      <c r="A18" t="s">
        <v>566</v>
      </c>
      <c r="B18" t="s">
        <v>7</v>
      </c>
      <c r="C18">
        <v>21</v>
      </c>
      <c r="D18">
        <v>18</v>
      </c>
      <c r="E18">
        <v>1519</v>
      </c>
      <c r="F18" t="str">
        <f>IF(Estadisticas_jugador[[#This Row],[minutes_played]]&gt;900, "Si", "No")</f>
        <v>Si</v>
      </c>
      <c r="G18">
        <v>0</v>
      </c>
      <c r="H18">
        <v>2</v>
      </c>
      <c r="I18">
        <v>0.30470000000000003</v>
      </c>
      <c r="J18">
        <v>1.94639896</v>
      </c>
      <c r="K18">
        <v>6.7523809523810003</v>
      </c>
      <c r="L18">
        <v>8</v>
      </c>
      <c r="M18">
        <v>1</v>
      </c>
      <c r="N18">
        <v>2</v>
      </c>
      <c r="O18">
        <v>0</v>
      </c>
      <c r="P18">
        <v>30</v>
      </c>
      <c r="Q18">
        <v>5</v>
      </c>
      <c r="R18">
        <f>Estadisticas_jugador[[#This Row],[tackles]]+Estadisticas_jugador[[#This Row],[interceptions]]</f>
        <v>35</v>
      </c>
      <c r="S18">
        <v>0</v>
      </c>
    </row>
    <row r="19" spans="1:19" x14ac:dyDescent="0.3">
      <c r="A19" t="s">
        <v>567</v>
      </c>
      <c r="B19" t="s">
        <v>7</v>
      </c>
      <c r="C19">
        <v>18</v>
      </c>
      <c r="D19">
        <v>8</v>
      </c>
      <c r="E19">
        <v>832</v>
      </c>
      <c r="F19" t="str">
        <f>IF(Estadisticas_jugador[[#This Row],[minutes_played]]&gt;900, "Si", "No")</f>
        <v>No</v>
      </c>
      <c r="G19">
        <v>3</v>
      </c>
      <c r="H19">
        <v>0</v>
      </c>
      <c r="I19">
        <v>1.3145</v>
      </c>
      <c r="J19">
        <v>0.16224125</v>
      </c>
      <c r="K19">
        <v>6.9058823529411999</v>
      </c>
      <c r="L19">
        <v>9</v>
      </c>
      <c r="M19">
        <v>5</v>
      </c>
      <c r="N19">
        <v>2</v>
      </c>
      <c r="O19">
        <v>0</v>
      </c>
      <c r="P19">
        <v>12</v>
      </c>
      <c r="Q19">
        <v>9</v>
      </c>
      <c r="R19">
        <f>Estadisticas_jugador[[#This Row],[tackles]]+Estadisticas_jugador[[#This Row],[interceptions]]</f>
        <v>21</v>
      </c>
      <c r="S19">
        <v>0</v>
      </c>
    </row>
    <row r="20" spans="1:19" x14ac:dyDescent="0.3">
      <c r="A20" t="s">
        <v>568</v>
      </c>
      <c r="B20" t="s">
        <v>7</v>
      </c>
      <c r="C20">
        <v>7</v>
      </c>
      <c r="D20">
        <v>5</v>
      </c>
      <c r="E20">
        <v>435</v>
      </c>
      <c r="F20" t="str">
        <f>IF(Estadisticas_jugador[[#This Row],[minutes_played]]&gt;900, "Si", "No")</f>
        <v>No</v>
      </c>
      <c r="G20">
        <v>1</v>
      </c>
      <c r="H20">
        <v>2</v>
      </c>
      <c r="I20">
        <v>0.2278</v>
      </c>
      <c r="J20">
        <v>1.1146441199999999</v>
      </c>
      <c r="K20">
        <v>7.2857142857142998</v>
      </c>
      <c r="L20">
        <v>6</v>
      </c>
      <c r="M20">
        <v>1</v>
      </c>
      <c r="N20">
        <v>0</v>
      </c>
      <c r="O20">
        <v>0</v>
      </c>
      <c r="P20">
        <v>12</v>
      </c>
      <c r="Q20">
        <v>9</v>
      </c>
      <c r="R20">
        <f>Estadisticas_jugador[[#This Row],[tackles]]+Estadisticas_jugador[[#This Row],[interceptions]]</f>
        <v>21</v>
      </c>
      <c r="S20">
        <v>0</v>
      </c>
    </row>
    <row r="21" spans="1:19" x14ac:dyDescent="0.3">
      <c r="A21" t="s">
        <v>569</v>
      </c>
      <c r="B21" t="s">
        <v>7</v>
      </c>
      <c r="C21">
        <v>12</v>
      </c>
      <c r="D21">
        <v>3</v>
      </c>
      <c r="E21">
        <v>406</v>
      </c>
      <c r="F21" t="str">
        <f>IF(Estadisticas_jugador[[#This Row],[minutes_played]]&gt;900, "Si", "No")</f>
        <v>No</v>
      </c>
      <c r="G21">
        <v>0</v>
      </c>
      <c r="H21">
        <v>0</v>
      </c>
      <c r="I21">
        <v>8.1100000000000005E-2</v>
      </c>
      <c r="J21">
        <v>0.10402844999999999</v>
      </c>
      <c r="K21">
        <v>6.78</v>
      </c>
      <c r="L21">
        <v>2</v>
      </c>
      <c r="M21">
        <v>0</v>
      </c>
      <c r="N21">
        <v>1</v>
      </c>
      <c r="O21">
        <v>0</v>
      </c>
      <c r="P21">
        <v>5</v>
      </c>
      <c r="Q21">
        <v>2</v>
      </c>
      <c r="R21">
        <f>Estadisticas_jugador[[#This Row],[tackles]]+Estadisticas_jugador[[#This Row],[interceptions]]</f>
        <v>7</v>
      </c>
      <c r="S21">
        <v>0</v>
      </c>
    </row>
    <row r="22" spans="1:19" x14ac:dyDescent="0.3">
      <c r="A22" t="s">
        <v>570</v>
      </c>
      <c r="B22" t="s">
        <v>7</v>
      </c>
      <c r="C22">
        <v>27</v>
      </c>
      <c r="D22">
        <v>25</v>
      </c>
      <c r="E22">
        <v>2175</v>
      </c>
      <c r="F22" t="str">
        <f>IF(Estadisticas_jugador[[#This Row],[minutes_played]]&gt;900, "Si", "No")</f>
        <v>Si</v>
      </c>
      <c r="G22">
        <v>1</v>
      </c>
      <c r="H22">
        <v>2</v>
      </c>
      <c r="I22">
        <v>2.8828</v>
      </c>
      <c r="J22">
        <v>1.7459898199999999</v>
      </c>
      <c r="K22">
        <v>7.0962962962963001</v>
      </c>
      <c r="L22">
        <v>23</v>
      </c>
      <c r="M22">
        <v>6</v>
      </c>
      <c r="N22">
        <v>3</v>
      </c>
      <c r="O22">
        <v>0</v>
      </c>
      <c r="P22">
        <v>62</v>
      </c>
      <c r="Q22">
        <v>39</v>
      </c>
      <c r="R22">
        <f>Estadisticas_jugador[[#This Row],[tackles]]+Estadisticas_jugador[[#This Row],[interceptions]]</f>
        <v>101</v>
      </c>
      <c r="S22">
        <v>0</v>
      </c>
    </row>
    <row r="23" spans="1:19" x14ac:dyDescent="0.3">
      <c r="A23" t="s">
        <v>571</v>
      </c>
      <c r="B23" t="s">
        <v>7</v>
      </c>
      <c r="C23">
        <v>24</v>
      </c>
      <c r="D23">
        <v>18</v>
      </c>
      <c r="E23">
        <v>1465</v>
      </c>
      <c r="F23" t="str">
        <f>IF(Estadisticas_jugador[[#This Row],[minutes_played]]&gt;900, "Si", "No")</f>
        <v>Si</v>
      </c>
      <c r="G23">
        <v>0</v>
      </c>
      <c r="H23">
        <v>0</v>
      </c>
      <c r="I23">
        <v>0.12609999999999999</v>
      </c>
      <c r="J23">
        <v>0.79359776000000004</v>
      </c>
      <c r="K23">
        <v>7.0217391304348</v>
      </c>
      <c r="L23">
        <v>5</v>
      </c>
      <c r="M23">
        <v>2</v>
      </c>
      <c r="N23">
        <v>5</v>
      </c>
      <c r="O23">
        <v>0</v>
      </c>
      <c r="P23">
        <v>31</v>
      </c>
      <c r="Q23">
        <v>20</v>
      </c>
      <c r="R23">
        <f>Estadisticas_jugador[[#This Row],[tackles]]+Estadisticas_jugador[[#This Row],[interceptions]]</f>
        <v>51</v>
      </c>
      <c r="S23">
        <v>0</v>
      </c>
    </row>
    <row r="24" spans="1:19" x14ac:dyDescent="0.3">
      <c r="A24" t="s">
        <v>572</v>
      </c>
      <c r="B24" t="s">
        <v>7</v>
      </c>
      <c r="C24">
        <v>2</v>
      </c>
      <c r="D24">
        <v>1</v>
      </c>
      <c r="E24">
        <v>91</v>
      </c>
      <c r="F24" t="str">
        <f>IF(Estadisticas_jugador[[#This Row],[minutes_played]]&gt;900, "Si", "No")</f>
        <v>No</v>
      </c>
      <c r="G24">
        <v>0</v>
      </c>
      <c r="H24">
        <v>0</v>
      </c>
      <c r="J24">
        <v>1.139222E-2</v>
      </c>
      <c r="K24">
        <v>6.6</v>
      </c>
      <c r="L24">
        <v>0</v>
      </c>
      <c r="M24">
        <v>0</v>
      </c>
      <c r="N24">
        <v>0</v>
      </c>
      <c r="O24">
        <v>0</v>
      </c>
      <c r="P24">
        <v>1</v>
      </c>
      <c r="Q24">
        <v>5</v>
      </c>
      <c r="R24">
        <f>Estadisticas_jugador[[#This Row],[tackles]]+Estadisticas_jugador[[#This Row],[interceptions]]</f>
        <v>6</v>
      </c>
      <c r="S24">
        <v>0</v>
      </c>
    </row>
    <row r="25" spans="1:19" x14ac:dyDescent="0.3">
      <c r="A25" t="s">
        <v>573</v>
      </c>
      <c r="B25" t="s">
        <v>7</v>
      </c>
      <c r="C25">
        <v>23</v>
      </c>
      <c r="D25">
        <v>23</v>
      </c>
      <c r="E25">
        <v>2070</v>
      </c>
      <c r="F25" t="str">
        <f>IF(Estadisticas_jugador[[#This Row],[minutes_played]]&gt;900, "Si", "No")</f>
        <v>Si</v>
      </c>
      <c r="G25">
        <v>0</v>
      </c>
      <c r="H25">
        <v>0</v>
      </c>
      <c r="J25">
        <v>8.3758300000000008E-3</v>
      </c>
      <c r="K25">
        <v>7.4478260869564998</v>
      </c>
      <c r="L25">
        <v>0</v>
      </c>
      <c r="M25">
        <v>0</v>
      </c>
      <c r="N25">
        <v>1</v>
      </c>
      <c r="O25">
        <v>0</v>
      </c>
      <c r="P25">
        <v>5</v>
      </c>
      <c r="Q25">
        <v>2</v>
      </c>
      <c r="R25">
        <f>Estadisticas_jugador[[#This Row],[tackles]]+Estadisticas_jugador[[#This Row],[interceptions]]</f>
        <v>7</v>
      </c>
      <c r="S25">
        <v>63</v>
      </c>
    </row>
    <row r="26" spans="1:19" x14ac:dyDescent="0.3">
      <c r="A26" t="s">
        <v>574</v>
      </c>
      <c r="B26" t="s">
        <v>7</v>
      </c>
      <c r="C26">
        <v>6</v>
      </c>
      <c r="D26">
        <v>6</v>
      </c>
      <c r="E26">
        <v>540</v>
      </c>
      <c r="F26" t="str">
        <f>IF(Estadisticas_jugador[[#This Row],[minutes_played]]&gt;900, "Si", "No")</f>
        <v>No</v>
      </c>
      <c r="G26">
        <v>0</v>
      </c>
      <c r="H26">
        <v>0</v>
      </c>
      <c r="J26">
        <v>2.2734600000000002E-3</v>
      </c>
      <c r="K26">
        <v>7.1666666666666998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f>Estadisticas_jugador[[#This Row],[tackles]]+Estadisticas_jugador[[#This Row],[interceptions]]</f>
        <v>0</v>
      </c>
      <c r="S26">
        <v>17</v>
      </c>
    </row>
    <row r="27" spans="1:19" x14ac:dyDescent="0.3">
      <c r="A27" t="s">
        <v>575</v>
      </c>
      <c r="B27" t="s">
        <v>7</v>
      </c>
      <c r="C27">
        <v>24</v>
      </c>
      <c r="D27">
        <v>23</v>
      </c>
      <c r="E27">
        <v>2052</v>
      </c>
      <c r="F27" t="str">
        <f>IF(Estadisticas_jugador[[#This Row],[minutes_played]]&gt;900, "Si", "No")</f>
        <v>Si</v>
      </c>
      <c r="G27">
        <v>23</v>
      </c>
      <c r="H27">
        <v>4</v>
      </c>
      <c r="I27">
        <v>20.800699999999999</v>
      </c>
      <c r="J27">
        <v>5.5994891999999998</v>
      </c>
      <c r="K27">
        <v>7.7708333333333002</v>
      </c>
      <c r="L27">
        <v>111</v>
      </c>
      <c r="M27">
        <v>51</v>
      </c>
      <c r="N27">
        <v>3</v>
      </c>
      <c r="O27">
        <v>0</v>
      </c>
      <c r="P27">
        <v>3</v>
      </c>
      <c r="Q27">
        <v>2</v>
      </c>
      <c r="R27">
        <f>Estadisticas_jugador[[#This Row],[tackles]]+Estadisticas_jugador[[#This Row],[interceptions]]</f>
        <v>5</v>
      </c>
      <c r="S27">
        <v>0</v>
      </c>
    </row>
    <row r="28" spans="1:19" x14ac:dyDescent="0.3">
      <c r="A28" t="s">
        <v>576</v>
      </c>
      <c r="B28" t="s">
        <v>7</v>
      </c>
      <c r="C28">
        <v>28</v>
      </c>
      <c r="D28">
        <v>25</v>
      </c>
      <c r="E28">
        <v>2183</v>
      </c>
      <c r="F28" t="str">
        <f>IF(Estadisticas_jugador[[#This Row],[minutes_played]]&gt;900, "Si", "No")</f>
        <v>Si</v>
      </c>
      <c r="G28">
        <v>11</v>
      </c>
      <c r="H28">
        <v>5</v>
      </c>
      <c r="I28">
        <v>11.4412</v>
      </c>
      <c r="J28">
        <v>3.6474996000000002</v>
      </c>
      <c r="K28">
        <v>7.3857142857143003</v>
      </c>
      <c r="L28">
        <v>80</v>
      </c>
      <c r="M28">
        <v>35</v>
      </c>
      <c r="N28">
        <v>7</v>
      </c>
      <c r="O28">
        <v>0</v>
      </c>
      <c r="P28">
        <v>26</v>
      </c>
      <c r="Q28">
        <v>2</v>
      </c>
      <c r="R28">
        <f>Estadisticas_jugador[[#This Row],[tackles]]+Estadisticas_jugador[[#This Row],[interceptions]]</f>
        <v>28</v>
      </c>
      <c r="S28">
        <v>0</v>
      </c>
    </row>
    <row r="29" spans="1:19" x14ac:dyDescent="0.3">
      <c r="A29" t="s">
        <v>577</v>
      </c>
      <c r="B29" t="s">
        <v>7</v>
      </c>
      <c r="C29">
        <v>19</v>
      </c>
      <c r="D29">
        <v>6</v>
      </c>
      <c r="E29">
        <v>680</v>
      </c>
      <c r="F29" t="str">
        <f>IF(Estadisticas_jugador[[#This Row],[minutes_played]]&gt;900, "Si", "No")</f>
        <v>No</v>
      </c>
      <c r="G29">
        <v>1</v>
      </c>
      <c r="H29">
        <v>3</v>
      </c>
      <c r="I29">
        <v>2.5827</v>
      </c>
      <c r="J29">
        <v>2.1332612000000002</v>
      </c>
      <c r="K29">
        <v>6.9157894736841996</v>
      </c>
      <c r="L29">
        <v>27</v>
      </c>
      <c r="M29">
        <v>11</v>
      </c>
      <c r="N29">
        <v>3</v>
      </c>
      <c r="O29">
        <v>0</v>
      </c>
      <c r="P29">
        <v>13</v>
      </c>
      <c r="Q29">
        <v>3</v>
      </c>
      <c r="R29">
        <f>Estadisticas_jugador[[#This Row],[tackles]]+Estadisticas_jugador[[#This Row],[interceptions]]</f>
        <v>16</v>
      </c>
      <c r="S29">
        <v>0</v>
      </c>
    </row>
    <row r="30" spans="1:19" x14ac:dyDescent="0.3">
      <c r="A30" t="s">
        <v>578</v>
      </c>
      <c r="B30" t="s">
        <v>7</v>
      </c>
      <c r="C30">
        <v>16</v>
      </c>
      <c r="D30">
        <v>9</v>
      </c>
      <c r="E30">
        <v>784</v>
      </c>
      <c r="F30" t="str">
        <f>IF(Estadisticas_jugador[[#This Row],[minutes_played]]&gt;900, "Si", "No")</f>
        <v>No</v>
      </c>
      <c r="G30">
        <v>1</v>
      </c>
      <c r="H30">
        <v>0</v>
      </c>
      <c r="I30">
        <v>2.1745000000000001</v>
      </c>
      <c r="J30">
        <v>2.1638136000000001</v>
      </c>
      <c r="K30">
        <v>6.7312500000000002</v>
      </c>
      <c r="L30">
        <v>23</v>
      </c>
      <c r="M30">
        <v>5</v>
      </c>
      <c r="N30">
        <v>4</v>
      </c>
      <c r="O30">
        <v>1</v>
      </c>
      <c r="P30">
        <v>20</v>
      </c>
      <c r="Q30">
        <v>2</v>
      </c>
      <c r="R30">
        <f>Estadisticas_jugador[[#This Row],[tackles]]+Estadisticas_jugador[[#This Row],[interceptions]]</f>
        <v>22</v>
      </c>
      <c r="S30">
        <v>0</v>
      </c>
    </row>
    <row r="31" spans="1:19" x14ac:dyDescent="0.3">
      <c r="A31" t="s">
        <v>579</v>
      </c>
      <c r="B31" t="s">
        <v>7</v>
      </c>
      <c r="C31">
        <v>23</v>
      </c>
      <c r="D31">
        <v>6</v>
      </c>
      <c r="E31">
        <v>695</v>
      </c>
      <c r="F31" t="str">
        <f>IF(Estadisticas_jugador[[#This Row],[minutes_played]]&gt;900, "Si", "No")</f>
        <v>No</v>
      </c>
      <c r="G31">
        <v>4</v>
      </c>
      <c r="H31">
        <v>0</v>
      </c>
      <c r="I31">
        <v>3.9803999999999999</v>
      </c>
      <c r="J31">
        <v>0.76250788000000003</v>
      </c>
      <c r="K31">
        <v>6.6190476190476</v>
      </c>
      <c r="L31">
        <v>14</v>
      </c>
      <c r="M31">
        <v>9</v>
      </c>
      <c r="N31">
        <v>1</v>
      </c>
      <c r="O31">
        <v>0</v>
      </c>
      <c r="P31">
        <v>11</v>
      </c>
      <c r="Q31">
        <v>3</v>
      </c>
      <c r="R31">
        <f>Estadisticas_jugador[[#This Row],[tackles]]+Estadisticas_jugador[[#This Row],[interceptions]]</f>
        <v>14</v>
      </c>
      <c r="S31">
        <v>0</v>
      </c>
    </row>
    <row r="32" spans="1:19" x14ac:dyDescent="0.3">
      <c r="A32" t="s">
        <v>580</v>
      </c>
      <c r="B32" t="s">
        <v>7</v>
      </c>
      <c r="C32">
        <v>19</v>
      </c>
      <c r="D32">
        <v>15</v>
      </c>
      <c r="E32">
        <v>1307</v>
      </c>
      <c r="F32" t="str">
        <f>IF(Estadisticas_jugador[[#This Row],[minutes_played]]&gt;900, "Si", "No")</f>
        <v>Si</v>
      </c>
      <c r="G32">
        <v>4</v>
      </c>
      <c r="H32">
        <v>3</v>
      </c>
      <c r="I32">
        <v>5.3467000000000002</v>
      </c>
      <c r="J32">
        <v>1.6739354900000001</v>
      </c>
      <c r="K32">
        <v>7.2611111111111004</v>
      </c>
      <c r="L32">
        <v>36</v>
      </c>
      <c r="M32">
        <v>19</v>
      </c>
      <c r="N32">
        <v>1</v>
      </c>
      <c r="O32">
        <v>0</v>
      </c>
      <c r="P32">
        <v>42</v>
      </c>
      <c r="Q32">
        <v>12</v>
      </c>
      <c r="R32">
        <f>Estadisticas_jugador[[#This Row],[tackles]]+Estadisticas_jugador[[#This Row],[interceptions]]</f>
        <v>54</v>
      </c>
      <c r="S32">
        <v>0</v>
      </c>
    </row>
    <row r="33" spans="1:19" x14ac:dyDescent="0.3">
      <c r="A33" t="s">
        <v>581</v>
      </c>
      <c r="B33" t="s">
        <v>7</v>
      </c>
      <c r="C33">
        <v>28</v>
      </c>
      <c r="D33">
        <v>26</v>
      </c>
      <c r="E33">
        <v>2296</v>
      </c>
      <c r="F33" t="str">
        <f>IF(Estadisticas_jugador[[#This Row],[minutes_played]]&gt;900, "Si", "No")</f>
        <v>Si</v>
      </c>
      <c r="G33">
        <v>4</v>
      </c>
      <c r="H33">
        <v>7</v>
      </c>
      <c r="I33">
        <v>2.5019</v>
      </c>
      <c r="J33">
        <v>4.3081325899999996</v>
      </c>
      <c r="K33">
        <v>7.2750000000000004</v>
      </c>
      <c r="L33">
        <v>43</v>
      </c>
      <c r="M33">
        <v>16</v>
      </c>
      <c r="N33">
        <v>2</v>
      </c>
      <c r="O33">
        <v>1</v>
      </c>
      <c r="P33">
        <v>37</v>
      </c>
      <c r="Q33">
        <v>20</v>
      </c>
      <c r="R33">
        <f>Estadisticas_jugador[[#This Row],[tackles]]+Estadisticas_jugador[[#This Row],[interceptions]]</f>
        <v>57</v>
      </c>
      <c r="S33">
        <v>0</v>
      </c>
    </row>
    <row r="34" spans="1:19" x14ac:dyDescent="0.3">
      <c r="A34" t="s">
        <v>582</v>
      </c>
      <c r="B34" t="s">
        <v>7</v>
      </c>
      <c r="C34">
        <v>29</v>
      </c>
      <c r="D34">
        <v>23</v>
      </c>
      <c r="E34">
        <v>1854</v>
      </c>
      <c r="F34" t="str">
        <f>IF(Estadisticas_jugador[[#This Row],[minutes_played]]&gt;900, "Si", "No")</f>
        <v>Si</v>
      </c>
      <c r="G34">
        <v>4</v>
      </c>
      <c r="H34">
        <v>8</v>
      </c>
      <c r="I34">
        <v>4.4202000000000004</v>
      </c>
      <c r="J34">
        <v>6.4083874300000003</v>
      </c>
      <c r="K34">
        <v>7.1827586206897003</v>
      </c>
      <c r="L34">
        <v>46</v>
      </c>
      <c r="M34">
        <v>18</v>
      </c>
      <c r="N34">
        <v>1</v>
      </c>
      <c r="O34">
        <v>0</v>
      </c>
      <c r="P34">
        <v>43</v>
      </c>
      <c r="Q34">
        <v>8</v>
      </c>
      <c r="R34">
        <f>Estadisticas_jugador[[#This Row],[tackles]]+Estadisticas_jugador[[#This Row],[interceptions]]</f>
        <v>51</v>
      </c>
      <c r="S34">
        <v>0</v>
      </c>
    </row>
    <row r="35" spans="1:19" x14ac:dyDescent="0.3">
      <c r="A35" t="s">
        <v>583</v>
      </c>
      <c r="B35" t="s">
        <v>7</v>
      </c>
      <c r="C35">
        <v>21</v>
      </c>
      <c r="D35">
        <v>6</v>
      </c>
      <c r="E35">
        <v>708</v>
      </c>
      <c r="F35" t="str">
        <f>IF(Estadisticas_jugador[[#This Row],[minutes_played]]&gt;900, "Si", "No")</f>
        <v>No</v>
      </c>
      <c r="G35">
        <v>0</v>
      </c>
      <c r="H35">
        <v>4</v>
      </c>
      <c r="I35">
        <v>0.67910000000000004</v>
      </c>
      <c r="J35">
        <v>1.6455548600000001</v>
      </c>
      <c r="K35">
        <v>6.6809523809523998</v>
      </c>
      <c r="L35">
        <v>8</v>
      </c>
      <c r="M35">
        <v>2</v>
      </c>
      <c r="N35">
        <v>1</v>
      </c>
      <c r="O35">
        <v>0</v>
      </c>
      <c r="P35">
        <v>11</v>
      </c>
      <c r="Q35">
        <v>1</v>
      </c>
      <c r="R35">
        <f>Estadisticas_jugador[[#This Row],[tackles]]+Estadisticas_jugador[[#This Row],[interceptions]]</f>
        <v>12</v>
      </c>
      <c r="S35">
        <v>0</v>
      </c>
    </row>
    <row r="36" spans="1:19" x14ac:dyDescent="0.3">
      <c r="A36" t="s">
        <v>584</v>
      </c>
      <c r="B36" t="s">
        <v>7</v>
      </c>
      <c r="C36">
        <v>21</v>
      </c>
      <c r="D36">
        <v>12</v>
      </c>
      <c r="E36">
        <v>1158</v>
      </c>
      <c r="F36" t="str">
        <f>IF(Estadisticas_jugador[[#This Row],[minutes_played]]&gt;900, "Si", "No")</f>
        <v>Si</v>
      </c>
      <c r="G36">
        <v>1</v>
      </c>
      <c r="H36">
        <v>0</v>
      </c>
      <c r="I36">
        <v>1.0604</v>
      </c>
      <c r="J36">
        <v>1.42956528</v>
      </c>
      <c r="K36">
        <v>7.0149999999999997</v>
      </c>
      <c r="L36">
        <v>10</v>
      </c>
      <c r="M36">
        <v>2</v>
      </c>
      <c r="N36">
        <v>1</v>
      </c>
      <c r="O36">
        <v>0</v>
      </c>
      <c r="P36">
        <v>51</v>
      </c>
      <c r="Q36">
        <v>11</v>
      </c>
      <c r="R36">
        <f>Estadisticas_jugador[[#This Row],[tackles]]+Estadisticas_jugador[[#This Row],[interceptions]]</f>
        <v>62</v>
      </c>
      <c r="S36">
        <v>0</v>
      </c>
    </row>
    <row r="37" spans="1:19" x14ac:dyDescent="0.3">
      <c r="A37" t="s">
        <v>585</v>
      </c>
      <c r="B37" t="s">
        <v>7</v>
      </c>
      <c r="C37">
        <v>26</v>
      </c>
      <c r="D37">
        <v>25</v>
      </c>
      <c r="E37">
        <v>2150</v>
      </c>
      <c r="F37" t="str">
        <f>IF(Estadisticas_jugador[[#This Row],[minutes_played]]&gt;900, "Si", "No")</f>
        <v>Si</v>
      </c>
      <c r="G37">
        <v>1</v>
      </c>
      <c r="H37">
        <v>0</v>
      </c>
      <c r="I37">
        <v>2.0960999999999999</v>
      </c>
      <c r="J37">
        <v>2.7651245499999999</v>
      </c>
      <c r="K37">
        <v>7.25</v>
      </c>
      <c r="L37">
        <v>34</v>
      </c>
      <c r="M37">
        <v>6</v>
      </c>
      <c r="N37">
        <v>7</v>
      </c>
      <c r="O37">
        <v>0</v>
      </c>
      <c r="P37">
        <v>57</v>
      </c>
      <c r="Q37">
        <v>34</v>
      </c>
      <c r="R37">
        <f>Estadisticas_jugador[[#This Row],[tackles]]+Estadisticas_jugador[[#This Row],[interceptions]]</f>
        <v>91</v>
      </c>
      <c r="S37">
        <v>0</v>
      </c>
    </row>
    <row r="38" spans="1:19" x14ac:dyDescent="0.3">
      <c r="A38" t="s">
        <v>586</v>
      </c>
      <c r="B38" t="s">
        <v>7</v>
      </c>
      <c r="C38">
        <v>15</v>
      </c>
      <c r="D38">
        <v>4</v>
      </c>
      <c r="E38">
        <v>482</v>
      </c>
      <c r="F38" t="str">
        <f>IF(Estadisticas_jugador[[#This Row],[minutes_played]]&gt;900, "Si", "No")</f>
        <v>No</v>
      </c>
      <c r="G38">
        <v>0</v>
      </c>
      <c r="H38">
        <v>0</v>
      </c>
      <c r="I38">
        <v>4.48E-2</v>
      </c>
      <c r="J38">
        <v>0.68577843999999999</v>
      </c>
      <c r="K38">
        <v>6.9357142857143002</v>
      </c>
      <c r="L38">
        <v>3</v>
      </c>
      <c r="M38">
        <v>0</v>
      </c>
      <c r="N38">
        <v>1</v>
      </c>
      <c r="O38">
        <v>0</v>
      </c>
      <c r="P38">
        <v>18</v>
      </c>
      <c r="Q38">
        <v>7</v>
      </c>
      <c r="R38">
        <f>Estadisticas_jugador[[#This Row],[tackles]]+Estadisticas_jugador[[#This Row],[interceptions]]</f>
        <v>25</v>
      </c>
      <c r="S38">
        <v>0</v>
      </c>
    </row>
    <row r="39" spans="1:19" x14ac:dyDescent="0.3">
      <c r="A39" t="s">
        <v>587</v>
      </c>
      <c r="B39" t="s">
        <v>7</v>
      </c>
      <c r="C39">
        <v>4</v>
      </c>
      <c r="D39">
        <v>4</v>
      </c>
      <c r="E39">
        <v>272</v>
      </c>
      <c r="F39" t="str">
        <f>IF(Estadisticas_jugador[[#This Row],[minutes_played]]&gt;900, "Si", "No")</f>
        <v>No</v>
      </c>
      <c r="G39">
        <v>0</v>
      </c>
      <c r="H39">
        <v>0</v>
      </c>
      <c r="I39">
        <v>0.2205</v>
      </c>
      <c r="J39">
        <v>0.1099501</v>
      </c>
      <c r="K39">
        <v>6.1749999999999998</v>
      </c>
      <c r="L39">
        <v>3</v>
      </c>
      <c r="M39">
        <v>1</v>
      </c>
      <c r="N39">
        <v>1</v>
      </c>
      <c r="O39">
        <v>0</v>
      </c>
      <c r="P39">
        <v>3</v>
      </c>
      <c r="Q39">
        <v>3</v>
      </c>
      <c r="R39">
        <f>Estadisticas_jugador[[#This Row],[tackles]]+Estadisticas_jugador[[#This Row],[interceptions]]</f>
        <v>6</v>
      </c>
      <c r="S39">
        <v>0</v>
      </c>
    </row>
    <row r="40" spans="1:19" x14ac:dyDescent="0.3">
      <c r="A40" t="s">
        <v>588</v>
      </c>
      <c r="B40" t="s">
        <v>7</v>
      </c>
      <c r="C40">
        <v>14</v>
      </c>
      <c r="D40">
        <v>8</v>
      </c>
      <c r="E40">
        <v>669</v>
      </c>
      <c r="F40" t="str">
        <f>IF(Estadisticas_jugador[[#This Row],[minutes_played]]&gt;900, "Si", "No")</f>
        <v>No</v>
      </c>
      <c r="G40">
        <v>0</v>
      </c>
      <c r="H40">
        <v>3</v>
      </c>
      <c r="I40">
        <v>0.19020000000000001</v>
      </c>
      <c r="J40">
        <v>1.8676475800000001</v>
      </c>
      <c r="K40">
        <v>6.8153846153846001</v>
      </c>
      <c r="L40">
        <v>6</v>
      </c>
      <c r="M40">
        <v>1</v>
      </c>
      <c r="N40">
        <v>1</v>
      </c>
      <c r="O40">
        <v>0</v>
      </c>
      <c r="P40">
        <v>9</v>
      </c>
      <c r="Q40">
        <v>12</v>
      </c>
      <c r="R40">
        <f>Estadisticas_jugador[[#This Row],[tackles]]+Estadisticas_jugador[[#This Row],[interceptions]]</f>
        <v>21</v>
      </c>
      <c r="S40">
        <v>0</v>
      </c>
    </row>
    <row r="41" spans="1:19" x14ac:dyDescent="0.3">
      <c r="A41" t="s">
        <v>589</v>
      </c>
      <c r="B41" t="s">
        <v>7</v>
      </c>
      <c r="C41">
        <v>12</v>
      </c>
      <c r="D41">
        <v>11</v>
      </c>
      <c r="E41">
        <v>996</v>
      </c>
      <c r="F41" t="str">
        <f>IF(Estadisticas_jugador[[#This Row],[minutes_played]]&gt;900, "Si", "No")</f>
        <v>Si</v>
      </c>
      <c r="G41">
        <v>1</v>
      </c>
      <c r="H41">
        <v>0</v>
      </c>
      <c r="I41">
        <v>0.65969999999999995</v>
      </c>
      <c r="J41">
        <v>0.30133615000000002</v>
      </c>
      <c r="K41">
        <v>6.9</v>
      </c>
      <c r="L41">
        <v>10</v>
      </c>
      <c r="M41">
        <v>1</v>
      </c>
      <c r="N41">
        <v>0</v>
      </c>
      <c r="O41">
        <v>0</v>
      </c>
      <c r="P41">
        <v>10</v>
      </c>
      <c r="Q41">
        <v>3</v>
      </c>
      <c r="R41">
        <f>Estadisticas_jugador[[#This Row],[tackles]]+Estadisticas_jugador[[#This Row],[interceptions]]</f>
        <v>13</v>
      </c>
      <c r="S41">
        <v>0</v>
      </c>
    </row>
    <row r="42" spans="1:19" x14ac:dyDescent="0.3">
      <c r="A42" t="s">
        <v>590</v>
      </c>
      <c r="B42" t="s">
        <v>7</v>
      </c>
      <c r="C42">
        <v>21</v>
      </c>
      <c r="D42">
        <v>19</v>
      </c>
      <c r="E42">
        <v>1589</v>
      </c>
      <c r="F42" t="str">
        <f>IF(Estadisticas_jugador[[#This Row],[minutes_played]]&gt;900, "Si", "No")</f>
        <v>Si</v>
      </c>
      <c r="G42">
        <v>2</v>
      </c>
      <c r="H42">
        <v>2</v>
      </c>
      <c r="I42">
        <v>2.1644000000000001</v>
      </c>
      <c r="J42">
        <v>1.0803654</v>
      </c>
      <c r="K42">
        <v>7.2380952380951999</v>
      </c>
      <c r="L42">
        <v>17</v>
      </c>
      <c r="M42">
        <v>4</v>
      </c>
      <c r="N42">
        <v>5</v>
      </c>
      <c r="O42">
        <v>1</v>
      </c>
      <c r="P42">
        <v>24</v>
      </c>
      <c r="Q42">
        <v>17</v>
      </c>
      <c r="R42">
        <f>Estadisticas_jugador[[#This Row],[tackles]]+Estadisticas_jugador[[#This Row],[interceptions]]</f>
        <v>41</v>
      </c>
      <c r="S42">
        <v>0</v>
      </c>
    </row>
    <row r="43" spans="1:19" x14ac:dyDescent="0.3">
      <c r="A43" t="s">
        <v>591</v>
      </c>
      <c r="B43" t="s">
        <v>7</v>
      </c>
      <c r="C43">
        <v>13</v>
      </c>
      <c r="D43">
        <v>12</v>
      </c>
      <c r="E43">
        <v>1002</v>
      </c>
      <c r="F43" t="str">
        <f>IF(Estadisticas_jugador[[#This Row],[minutes_played]]&gt;900, "Si", "No")</f>
        <v>Si</v>
      </c>
      <c r="G43">
        <v>1</v>
      </c>
      <c r="H43">
        <v>1</v>
      </c>
      <c r="I43">
        <v>1.3660000000000001</v>
      </c>
      <c r="J43">
        <v>0.69023405999999998</v>
      </c>
      <c r="K43">
        <v>7.3307692307692003</v>
      </c>
      <c r="L43">
        <v>17</v>
      </c>
      <c r="M43">
        <v>8</v>
      </c>
      <c r="N43">
        <v>2</v>
      </c>
      <c r="O43">
        <v>0</v>
      </c>
      <c r="P43">
        <v>20</v>
      </c>
      <c r="Q43">
        <v>10</v>
      </c>
      <c r="R43">
        <f>Estadisticas_jugador[[#This Row],[tackles]]+Estadisticas_jugador[[#This Row],[interceptions]]</f>
        <v>30</v>
      </c>
      <c r="S43">
        <v>0</v>
      </c>
    </row>
    <row r="44" spans="1:19" x14ac:dyDescent="0.3">
      <c r="A44" t="s">
        <v>592</v>
      </c>
      <c r="B44" t="s">
        <v>7</v>
      </c>
      <c r="C44">
        <v>12</v>
      </c>
      <c r="D44">
        <v>7</v>
      </c>
      <c r="E44">
        <v>659</v>
      </c>
      <c r="F44" t="str">
        <f>IF(Estadisticas_jugador[[#This Row],[minutes_played]]&gt;900, "Si", "No")</f>
        <v>No</v>
      </c>
      <c r="G44">
        <v>0</v>
      </c>
      <c r="H44">
        <v>0</v>
      </c>
      <c r="I44">
        <v>0.32740000000000002</v>
      </c>
      <c r="J44">
        <v>1.7076315200000001</v>
      </c>
      <c r="K44">
        <v>6.8333333333333002</v>
      </c>
      <c r="L44">
        <v>4</v>
      </c>
      <c r="M44">
        <v>1</v>
      </c>
      <c r="N44">
        <v>0</v>
      </c>
      <c r="O44">
        <v>0</v>
      </c>
      <c r="P44">
        <v>10</v>
      </c>
      <c r="Q44">
        <v>4</v>
      </c>
      <c r="R44">
        <f>Estadisticas_jugador[[#This Row],[tackles]]+Estadisticas_jugador[[#This Row],[interceptions]]</f>
        <v>14</v>
      </c>
      <c r="S44">
        <v>0</v>
      </c>
    </row>
    <row r="45" spans="1:19" x14ac:dyDescent="0.3">
      <c r="A45" t="s">
        <v>593</v>
      </c>
      <c r="B45" t="s">
        <v>7</v>
      </c>
      <c r="C45">
        <v>19</v>
      </c>
      <c r="D45">
        <v>14</v>
      </c>
      <c r="E45">
        <v>1346</v>
      </c>
      <c r="F45" t="str">
        <f>IF(Estadisticas_jugador[[#This Row],[minutes_played]]&gt;900, "Si", "No")</f>
        <v>Si</v>
      </c>
      <c r="G45">
        <v>2</v>
      </c>
      <c r="H45">
        <v>0</v>
      </c>
      <c r="I45">
        <v>1.0207999999999999</v>
      </c>
      <c r="J45">
        <v>0.53555222999999996</v>
      </c>
      <c r="K45">
        <v>6.9736842105262999</v>
      </c>
      <c r="L45">
        <v>13</v>
      </c>
      <c r="M45">
        <v>4</v>
      </c>
      <c r="N45">
        <v>3</v>
      </c>
      <c r="O45">
        <v>0</v>
      </c>
      <c r="P45">
        <v>14</v>
      </c>
      <c r="Q45">
        <v>8</v>
      </c>
      <c r="R45">
        <f>Estadisticas_jugador[[#This Row],[tackles]]+Estadisticas_jugador[[#This Row],[interceptions]]</f>
        <v>22</v>
      </c>
      <c r="S45">
        <v>0</v>
      </c>
    </row>
    <row r="46" spans="1:19" x14ac:dyDescent="0.3">
      <c r="A46" t="s">
        <v>594</v>
      </c>
      <c r="B46" t="s">
        <v>7</v>
      </c>
      <c r="C46">
        <v>8</v>
      </c>
      <c r="D46">
        <v>3</v>
      </c>
      <c r="E46">
        <v>251</v>
      </c>
      <c r="F46" t="str">
        <f>IF(Estadisticas_jugador[[#This Row],[minutes_played]]&gt;900, "Si", "No")</f>
        <v>No</v>
      </c>
      <c r="G46">
        <v>0</v>
      </c>
      <c r="H46">
        <v>0</v>
      </c>
      <c r="I46">
        <v>0.1903</v>
      </c>
      <c r="J46">
        <v>6.0237489999999998E-2</v>
      </c>
      <c r="K46">
        <v>6.7857142857142998</v>
      </c>
      <c r="L46">
        <v>3</v>
      </c>
      <c r="M46">
        <v>1</v>
      </c>
      <c r="N46">
        <v>1</v>
      </c>
      <c r="O46">
        <v>0</v>
      </c>
      <c r="P46">
        <v>5</v>
      </c>
      <c r="Q46">
        <v>0</v>
      </c>
      <c r="R46">
        <f>Estadisticas_jugador[[#This Row],[tackles]]+Estadisticas_jugador[[#This Row],[interceptions]]</f>
        <v>5</v>
      </c>
      <c r="S46">
        <v>0</v>
      </c>
    </row>
    <row r="47" spans="1:19" x14ac:dyDescent="0.3">
      <c r="A47" t="s">
        <v>595</v>
      </c>
      <c r="B47" t="s">
        <v>7</v>
      </c>
      <c r="C47">
        <v>24</v>
      </c>
      <c r="D47">
        <v>22</v>
      </c>
      <c r="E47">
        <v>1980</v>
      </c>
      <c r="F47" t="str">
        <f>IF(Estadisticas_jugador[[#This Row],[minutes_played]]&gt;900, "Si", "No")</f>
        <v>Si</v>
      </c>
      <c r="G47">
        <v>2</v>
      </c>
      <c r="H47">
        <v>2</v>
      </c>
      <c r="I47">
        <v>0.307</v>
      </c>
      <c r="J47">
        <v>1.31814893</v>
      </c>
      <c r="K47">
        <v>7.0608695652174003</v>
      </c>
      <c r="L47">
        <v>8</v>
      </c>
      <c r="M47">
        <v>2</v>
      </c>
      <c r="N47">
        <v>5</v>
      </c>
      <c r="O47">
        <v>1</v>
      </c>
      <c r="P47">
        <v>34</v>
      </c>
      <c r="Q47">
        <v>33</v>
      </c>
      <c r="R47">
        <f>Estadisticas_jugador[[#This Row],[tackles]]+Estadisticas_jugador[[#This Row],[interceptions]]</f>
        <v>67</v>
      </c>
      <c r="S47">
        <v>0</v>
      </c>
    </row>
    <row r="48" spans="1:19" x14ac:dyDescent="0.3">
      <c r="A48" t="s">
        <v>596</v>
      </c>
      <c r="B48" t="s">
        <v>7</v>
      </c>
      <c r="C48">
        <v>2</v>
      </c>
      <c r="D48">
        <v>1</v>
      </c>
      <c r="E48">
        <v>91</v>
      </c>
      <c r="F48" t="str">
        <f>IF(Estadisticas_jugador[[#This Row],[minutes_played]]&gt;900, "Si", "No")</f>
        <v>No</v>
      </c>
      <c r="G48">
        <v>0</v>
      </c>
      <c r="H48">
        <v>0</v>
      </c>
      <c r="J48">
        <v>3.7351549999999997E-2</v>
      </c>
      <c r="K48">
        <v>6.8</v>
      </c>
      <c r="L48">
        <v>0</v>
      </c>
      <c r="M48">
        <v>0</v>
      </c>
      <c r="N48">
        <v>0</v>
      </c>
      <c r="O48">
        <v>0</v>
      </c>
      <c r="P48">
        <v>1</v>
      </c>
      <c r="Q48">
        <v>1</v>
      </c>
      <c r="R48">
        <f>Estadisticas_jugador[[#This Row],[tackles]]+Estadisticas_jugador[[#This Row],[interceptions]]</f>
        <v>2</v>
      </c>
      <c r="S48">
        <v>0</v>
      </c>
    </row>
    <row r="49" spans="1:19" x14ac:dyDescent="0.3">
      <c r="A49" t="s">
        <v>597</v>
      </c>
      <c r="B49" t="s">
        <v>7</v>
      </c>
      <c r="C49">
        <v>9</v>
      </c>
      <c r="D49">
        <v>7</v>
      </c>
      <c r="E49">
        <v>598</v>
      </c>
      <c r="F49" t="str">
        <f>IF(Estadisticas_jugador[[#This Row],[minutes_played]]&gt;900, "Si", "No")</f>
        <v>No</v>
      </c>
      <c r="G49">
        <v>1</v>
      </c>
      <c r="H49">
        <v>1</v>
      </c>
      <c r="I49">
        <v>0.74709999999999999</v>
      </c>
      <c r="J49">
        <v>0.35149766999999998</v>
      </c>
      <c r="K49">
        <v>6.6</v>
      </c>
      <c r="L49">
        <v>5</v>
      </c>
      <c r="M49">
        <v>2</v>
      </c>
      <c r="N49">
        <v>0</v>
      </c>
      <c r="O49">
        <v>1</v>
      </c>
      <c r="P49">
        <v>14</v>
      </c>
      <c r="Q49">
        <v>5</v>
      </c>
      <c r="R49">
        <f>Estadisticas_jugador[[#This Row],[tackles]]+Estadisticas_jugador[[#This Row],[interceptions]]</f>
        <v>19</v>
      </c>
      <c r="S49">
        <v>0</v>
      </c>
    </row>
    <row r="50" spans="1:19" x14ac:dyDescent="0.3">
      <c r="A50" t="s">
        <v>598</v>
      </c>
      <c r="B50" t="s">
        <v>7</v>
      </c>
      <c r="C50">
        <v>28</v>
      </c>
      <c r="D50">
        <v>28</v>
      </c>
      <c r="E50">
        <v>2520</v>
      </c>
      <c r="F50" t="str">
        <f>IF(Estadisticas_jugador[[#This Row],[minutes_played]]&gt;900, "Si", "No")</f>
        <v>Si</v>
      </c>
      <c r="G50">
        <v>0</v>
      </c>
      <c r="H50">
        <v>0</v>
      </c>
      <c r="J50">
        <v>3.0992200000000001E-2</v>
      </c>
      <c r="K50">
        <v>6.9214285714286001</v>
      </c>
      <c r="L50">
        <v>0</v>
      </c>
      <c r="M50">
        <v>0</v>
      </c>
      <c r="N50">
        <v>1</v>
      </c>
      <c r="O50">
        <v>0</v>
      </c>
      <c r="P50">
        <v>1</v>
      </c>
      <c r="Q50">
        <v>0</v>
      </c>
      <c r="R50">
        <f>Estadisticas_jugador[[#This Row],[tackles]]+Estadisticas_jugador[[#This Row],[interceptions]]</f>
        <v>1</v>
      </c>
      <c r="S50">
        <v>58</v>
      </c>
    </row>
    <row r="51" spans="1:19" x14ac:dyDescent="0.3">
      <c r="A51" t="s">
        <v>599</v>
      </c>
      <c r="B51" t="s">
        <v>7</v>
      </c>
      <c r="C51">
        <v>1</v>
      </c>
      <c r="D51">
        <v>1</v>
      </c>
      <c r="E51">
        <v>90</v>
      </c>
      <c r="F51" t="str">
        <f>IF(Estadisticas_jugador[[#This Row],[minutes_played]]&gt;900, "Si", "No")</f>
        <v>No</v>
      </c>
      <c r="G51">
        <v>0</v>
      </c>
      <c r="H51">
        <v>0</v>
      </c>
      <c r="J51">
        <v>6.3811E-4</v>
      </c>
      <c r="K51">
        <v>7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f>Estadisticas_jugador[[#This Row],[tackles]]+Estadisticas_jugador[[#This Row],[interceptions]]</f>
        <v>0</v>
      </c>
      <c r="S51">
        <v>5</v>
      </c>
    </row>
    <row r="52" spans="1:19" x14ac:dyDescent="0.3">
      <c r="A52" t="s">
        <v>600</v>
      </c>
      <c r="B52" t="s">
        <v>7</v>
      </c>
      <c r="C52">
        <v>24</v>
      </c>
      <c r="D52">
        <v>18</v>
      </c>
      <c r="E52">
        <v>1623</v>
      </c>
      <c r="F52" t="str">
        <f>IF(Estadisticas_jugador[[#This Row],[minutes_played]]&gt;900, "Si", "No")</f>
        <v>Si</v>
      </c>
      <c r="G52">
        <v>9</v>
      </c>
      <c r="H52">
        <v>5</v>
      </c>
      <c r="I52">
        <v>8.5572999999999997</v>
      </c>
      <c r="J52">
        <v>2.1811709100000001</v>
      </c>
      <c r="K52">
        <v>6.9333333333332998</v>
      </c>
      <c r="L52">
        <v>49</v>
      </c>
      <c r="M52">
        <v>25</v>
      </c>
      <c r="N52">
        <v>1</v>
      </c>
      <c r="O52">
        <v>0</v>
      </c>
      <c r="P52">
        <v>4</v>
      </c>
      <c r="Q52">
        <v>4</v>
      </c>
      <c r="R52">
        <f>Estadisticas_jugador[[#This Row],[tackles]]+Estadisticas_jugador[[#This Row],[interceptions]]</f>
        <v>8</v>
      </c>
      <c r="S52">
        <v>0</v>
      </c>
    </row>
    <row r="53" spans="1:19" x14ac:dyDescent="0.3">
      <c r="A53" t="s">
        <v>601</v>
      </c>
      <c r="B53" t="s">
        <v>7</v>
      </c>
      <c r="C53">
        <v>28</v>
      </c>
      <c r="D53">
        <v>20</v>
      </c>
      <c r="E53">
        <v>1870</v>
      </c>
      <c r="F53" t="str">
        <f>IF(Estadisticas_jugador[[#This Row],[minutes_played]]&gt;900, "Si", "No")</f>
        <v>Si</v>
      </c>
      <c r="G53">
        <v>5</v>
      </c>
      <c r="H53">
        <v>4</v>
      </c>
      <c r="I53">
        <v>6.4962</v>
      </c>
      <c r="J53">
        <v>5.0019663599999999</v>
      </c>
      <c r="K53">
        <v>7.1749999999999998</v>
      </c>
      <c r="L53">
        <v>51</v>
      </c>
      <c r="M53">
        <v>19</v>
      </c>
      <c r="N53">
        <v>3</v>
      </c>
      <c r="O53">
        <v>0</v>
      </c>
      <c r="P53">
        <v>26</v>
      </c>
      <c r="Q53">
        <v>12</v>
      </c>
      <c r="R53">
        <f>Estadisticas_jugador[[#This Row],[tackles]]+Estadisticas_jugador[[#This Row],[interceptions]]</f>
        <v>38</v>
      </c>
      <c r="S53">
        <v>0</v>
      </c>
    </row>
    <row r="54" spans="1:19" x14ac:dyDescent="0.3">
      <c r="A54" t="s">
        <v>602</v>
      </c>
      <c r="B54" t="s">
        <v>7</v>
      </c>
      <c r="C54">
        <v>15</v>
      </c>
      <c r="D54">
        <v>11</v>
      </c>
      <c r="E54">
        <v>860</v>
      </c>
      <c r="F54" t="str">
        <f>IF(Estadisticas_jugador[[#This Row],[minutes_played]]&gt;900, "Si", "No")</f>
        <v>No</v>
      </c>
      <c r="G54">
        <v>8</v>
      </c>
      <c r="H54">
        <v>0</v>
      </c>
      <c r="I54">
        <v>4.7419000000000002</v>
      </c>
      <c r="J54">
        <v>1.6954372900000001</v>
      </c>
      <c r="K54">
        <v>7.1733333333333</v>
      </c>
      <c r="L54">
        <v>27</v>
      </c>
      <c r="M54">
        <v>13</v>
      </c>
      <c r="N54">
        <v>0</v>
      </c>
      <c r="O54">
        <v>0</v>
      </c>
      <c r="P54">
        <v>11</v>
      </c>
      <c r="Q54">
        <v>3</v>
      </c>
      <c r="R54">
        <f>Estadisticas_jugador[[#This Row],[tackles]]+Estadisticas_jugador[[#This Row],[interceptions]]</f>
        <v>14</v>
      </c>
      <c r="S54">
        <v>0</v>
      </c>
    </row>
    <row r="55" spans="1:19" x14ac:dyDescent="0.3">
      <c r="A55" t="s">
        <v>603</v>
      </c>
      <c r="B55" t="s">
        <v>7</v>
      </c>
      <c r="C55">
        <v>18</v>
      </c>
      <c r="D55">
        <v>9</v>
      </c>
      <c r="E55">
        <v>819</v>
      </c>
      <c r="F55" t="str">
        <f>IF(Estadisticas_jugador[[#This Row],[minutes_played]]&gt;900, "Si", "No")</f>
        <v>No</v>
      </c>
      <c r="G55">
        <v>2</v>
      </c>
      <c r="H55">
        <v>3</v>
      </c>
      <c r="I55">
        <v>3.2801</v>
      </c>
      <c r="J55">
        <v>0.48907196000000003</v>
      </c>
      <c r="K55">
        <v>6.6888888888888998</v>
      </c>
      <c r="L55">
        <v>13</v>
      </c>
      <c r="M55">
        <v>5</v>
      </c>
      <c r="N55">
        <v>3</v>
      </c>
      <c r="O55">
        <v>0</v>
      </c>
      <c r="P55">
        <v>19</v>
      </c>
      <c r="Q55">
        <v>4</v>
      </c>
      <c r="R55">
        <f>Estadisticas_jugador[[#This Row],[tackles]]+Estadisticas_jugador[[#This Row],[interceptions]]</f>
        <v>23</v>
      </c>
      <c r="S55">
        <v>0</v>
      </c>
    </row>
    <row r="56" spans="1:19" x14ac:dyDescent="0.3">
      <c r="A56" t="s">
        <v>604</v>
      </c>
      <c r="B56" t="s">
        <v>7</v>
      </c>
      <c r="C56">
        <v>23</v>
      </c>
      <c r="D56">
        <v>5</v>
      </c>
      <c r="E56">
        <v>664</v>
      </c>
      <c r="F56" t="str">
        <f>IF(Estadisticas_jugador[[#This Row],[minutes_played]]&gt;900, "Si", "No")</f>
        <v>No</v>
      </c>
      <c r="G56">
        <v>2</v>
      </c>
      <c r="H56">
        <v>1</v>
      </c>
      <c r="I56">
        <v>3.2393000000000001</v>
      </c>
      <c r="J56">
        <v>0.42592054000000001</v>
      </c>
      <c r="K56">
        <v>6.5238095238094997</v>
      </c>
      <c r="L56">
        <v>15</v>
      </c>
      <c r="M56">
        <v>7</v>
      </c>
      <c r="N56">
        <v>1</v>
      </c>
      <c r="O56">
        <v>0</v>
      </c>
      <c r="P56">
        <v>4</v>
      </c>
      <c r="Q56">
        <v>0</v>
      </c>
      <c r="R56">
        <f>Estadisticas_jugador[[#This Row],[tackles]]+Estadisticas_jugador[[#This Row],[interceptions]]</f>
        <v>4</v>
      </c>
      <c r="S56">
        <v>0</v>
      </c>
    </row>
    <row r="57" spans="1:19" x14ac:dyDescent="0.3">
      <c r="A57" t="s">
        <v>605</v>
      </c>
      <c r="B57" t="s">
        <v>7</v>
      </c>
      <c r="C57">
        <v>14</v>
      </c>
      <c r="D57">
        <v>4</v>
      </c>
      <c r="E57">
        <v>383</v>
      </c>
      <c r="F57" t="str">
        <f>IF(Estadisticas_jugador[[#This Row],[minutes_played]]&gt;900, "Si", "No")</f>
        <v>No</v>
      </c>
      <c r="G57">
        <v>1</v>
      </c>
      <c r="H57">
        <v>0</v>
      </c>
      <c r="I57">
        <v>0.68820000000000003</v>
      </c>
      <c r="J57">
        <v>0.16177321</v>
      </c>
      <c r="K57">
        <v>6.5714285714285996</v>
      </c>
      <c r="L57">
        <v>11</v>
      </c>
      <c r="M57">
        <v>7</v>
      </c>
      <c r="N57">
        <v>0</v>
      </c>
      <c r="O57">
        <v>0</v>
      </c>
      <c r="P57">
        <v>1</v>
      </c>
      <c r="Q57">
        <v>1</v>
      </c>
      <c r="R57">
        <f>Estadisticas_jugador[[#This Row],[tackles]]+Estadisticas_jugador[[#This Row],[interceptions]]</f>
        <v>2</v>
      </c>
      <c r="S57">
        <v>0</v>
      </c>
    </row>
    <row r="58" spans="1:19" x14ac:dyDescent="0.3">
      <c r="A58" t="s">
        <v>606</v>
      </c>
      <c r="B58" t="s">
        <v>7</v>
      </c>
      <c r="C58">
        <v>19</v>
      </c>
      <c r="D58">
        <v>7</v>
      </c>
      <c r="E58">
        <v>755</v>
      </c>
      <c r="F58" t="str">
        <f>IF(Estadisticas_jugador[[#This Row],[minutes_played]]&gt;900, "Si", "No")</f>
        <v>No</v>
      </c>
      <c r="G58">
        <v>0</v>
      </c>
      <c r="H58">
        <v>0</v>
      </c>
      <c r="I58">
        <v>0.35849999999999999</v>
      </c>
      <c r="J58">
        <v>0.34064186000000002</v>
      </c>
      <c r="K58">
        <v>6.6888888888888998</v>
      </c>
      <c r="L58">
        <v>8</v>
      </c>
      <c r="M58">
        <v>1</v>
      </c>
      <c r="N58">
        <v>0</v>
      </c>
      <c r="O58">
        <v>0</v>
      </c>
      <c r="P58">
        <v>16</v>
      </c>
      <c r="Q58">
        <v>12</v>
      </c>
      <c r="R58">
        <f>Estadisticas_jugador[[#This Row],[tackles]]+Estadisticas_jugador[[#This Row],[interceptions]]</f>
        <v>28</v>
      </c>
      <c r="S58">
        <v>0</v>
      </c>
    </row>
    <row r="59" spans="1:19" x14ac:dyDescent="0.3">
      <c r="A59" t="s">
        <v>607</v>
      </c>
      <c r="B59" t="s">
        <v>7</v>
      </c>
      <c r="C59">
        <v>23</v>
      </c>
      <c r="D59">
        <v>19</v>
      </c>
      <c r="E59">
        <v>1596</v>
      </c>
      <c r="F59" t="str">
        <f>IF(Estadisticas_jugador[[#This Row],[minutes_played]]&gt;900, "Si", "No")</f>
        <v>Si</v>
      </c>
      <c r="G59">
        <v>4</v>
      </c>
      <c r="H59">
        <v>2</v>
      </c>
      <c r="I59">
        <v>3.2048000000000001</v>
      </c>
      <c r="J59">
        <v>2.48446436</v>
      </c>
      <c r="K59">
        <v>7.0478260869565004</v>
      </c>
      <c r="L59">
        <v>37</v>
      </c>
      <c r="M59">
        <v>10</v>
      </c>
      <c r="N59">
        <v>7</v>
      </c>
      <c r="O59">
        <v>0</v>
      </c>
      <c r="P59">
        <v>31</v>
      </c>
      <c r="Q59">
        <v>25</v>
      </c>
      <c r="R59">
        <f>Estadisticas_jugador[[#This Row],[tackles]]+Estadisticas_jugador[[#This Row],[interceptions]]</f>
        <v>56</v>
      </c>
      <c r="S59">
        <v>0</v>
      </c>
    </row>
    <row r="60" spans="1:19" x14ac:dyDescent="0.3">
      <c r="A60" t="s">
        <v>608</v>
      </c>
      <c r="B60" t="s">
        <v>7</v>
      </c>
      <c r="C60">
        <v>27</v>
      </c>
      <c r="D60">
        <v>17</v>
      </c>
      <c r="E60">
        <v>1532</v>
      </c>
      <c r="F60" t="str">
        <f>IF(Estadisticas_jugador[[#This Row],[minutes_played]]&gt;900, "Si", "No")</f>
        <v>Si</v>
      </c>
      <c r="G60">
        <v>6</v>
      </c>
      <c r="H60">
        <v>1</v>
      </c>
      <c r="I60">
        <v>1.81</v>
      </c>
      <c r="J60">
        <v>1.8896622999999999</v>
      </c>
      <c r="K60">
        <v>6.8259259259259002</v>
      </c>
      <c r="L60">
        <v>22</v>
      </c>
      <c r="M60">
        <v>9</v>
      </c>
      <c r="N60">
        <v>7</v>
      </c>
      <c r="O60">
        <v>0</v>
      </c>
      <c r="P60">
        <v>25</v>
      </c>
      <c r="Q60">
        <v>20</v>
      </c>
      <c r="R60">
        <f>Estadisticas_jugador[[#This Row],[tackles]]+Estadisticas_jugador[[#This Row],[interceptions]]</f>
        <v>45</v>
      </c>
      <c r="S60">
        <v>0</v>
      </c>
    </row>
    <row r="61" spans="1:19" x14ac:dyDescent="0.3">
      <c r="A61" t="s">
        <v>609</v>
      </c>
      <c r="B61" t="s">
        <v>7</v>
      </c>
      <c r="C61">
        <v>28</v>
      </c>
      <c r="D61">
        <v>24</v>
      </c>
      <c r="E61">
        <v>1905</v>
      </c>
      <c r="F61" t="str">
        <f>IF(Estadisticas_jugador[[#This Row],[minutes_played]]&gt;900, "Si", "No")</f>
        <v>Si</v>
      </c>
      <c r="G61">
        <v>9</v>
      </c>
      <c r="H61">
        <v>4</v>
      </c>
      <c r="I61">
        <v>5.2290000000000001</v>
      </c>
      <c r="J61">
        <v>2.8605501200000001</v>
      </c>
      <c r="K61">
        <v>6.9107142857142998</v>
      </c>
      <c r="L61">
        <v>40</v>
      </c>
      <c r="M61">
        <v>18</v>
      </c>
      <c r="N61">
        <v>3</v>
      </c>
      <c r="O61">
        <v>0</v>
      </c>
      <c r="P61">
        <v>21</v>
      </c>
      <c r="Q61">
        <v>6</v>
      </c>
      <c r="R61">
        <f>Estadisticas_jugador[[#This Row],[tackles]]+Estadisticas_jugador[[#This Row],[interceptions]]</f>
        <v>27</v>
      </c>
      <c r="S61">
        <v>0</v>
      </c>
    </row>
    <row r="62" spans="1:19" x14ac:dyDescent="0.3">
      <c r="A62" t="s">
        <v>610</v>
      </c>
      <c r="B62" t="s">
        <v>7</v>
      </c>
      <c r="C62">
        <v>24</v>
      </c>
      <c r="D62">
        <v>12</v>
      </c>
      <c r="E62">
        <v>1057</v>
      </c>
      <c r="F62" t="str">
        <f>IF(Estadisticas_jugador[[#This Row],[minutes_played]]&gt;900, "Si", "No")</f>
        <v>Si</v>
      </c>
      <c r="G62">
        <v>0</v>
      </c>
      <c r="H62">
        <v>0</v>
      </c>
      <c r="I62">
        <v>0.16869999999999999</v>
      </c>
      <c r="J62">
        <v>0.96632817000000004</v>
      </c>
      <c r="K62">
        <v>6.8695652173913002</v>
      </c>
      <c r="L62">
        <v>2</v>
      </c>
      <c r="M62">
        <v>0</v>
      </c>
      <c r="N62">
        <v>2</v>
      </c>
      <c r="O62">
        <v>0</v>
      </c>
      <c r="P62">
        <v>28</v>
      </c>
      <c r="Q62">
        <v>12</v>
      </c>
      <c r="R62">
        <f>Estadisticas_jugador[[#This Row],[tackles]]+Estadisticas_jugador[[#This Row],[interceptions]]</f>
        <v>40</v>
      </c>
      <c r="S62">
        <v>0</v>
      </c>
    </row>
    <row r="63" spans="1:19" x14ac:dyDescent="0.3">
      <c r="A63" t="s">
        <v>611</v>
      </c>
      <c r="B63" t="s">
        <v>7</v>
      </c>
      <c r="C63">
        <v>27</v>
      </c>
      <c r="D63">
        <v>22</v>
      </c>
      <c r="E63">
        <v>1894</v>
      </c>
      <c r="F63" t="str">
        <f>IF(Estadisticas_jugador[[#This Row],[minutes_played]]&gt;900, "Si", "No")</f>
        <v>Si</v>
      </c>
      <c r="G63">
        <v>3</v>
      </c>
      <c r="H63">
        <v>5</v>
      </c>
      <c r="I63">
        <v>3.8536999999999999</v>
      </c>
      <c r="J63">
        <v>3.1919995600000002</v>
      </c>
      <c r="K63">
        <v>6.8851851851852004</v>
      </c>
      <c r="L63">
        <v>22</v>
      </c>
      <c r="M63">
        <v>7</v>
      </c>
      <c r="N63">
        <v>4</v>
      </c>
      <c r="O63">
        <v>1</v>
      </c>
      <c r="P63">
        <v>39</v>
      </c>
      <c r="Q63">
        <v>21</v>
      </c>
      <c r="R63">
        <f>Estadisticas_jugador[[#This Row],[tackles]]+Estadisticas_jugador[[#This Row],[interceptions]]</f>
        <v>60</v>
      </c>
      <c r="S63">
        <v>0</v>
      </c>
    </row>
    <row r="64" spans="1:19" x14ac:dyDescent="0.3">
      <c r="A64" t="s">
        <v>612</v>
      </c>
      <c r="B64" t="s">
        <v>7</v>
      </c>
      <c r="C64">
        <v>25</v>
      </c>
      <c r="D64">
        <v>20</v>
      </c>
      <c r="E64">
        <v>1855</v>
      </c>
      <c r="F64" t="str">
        <f>IF(Estadisticas_jugador[[#This Row],[minutes_played]]&gt;900, "Si", "No")</f>
        <v>Si</v>
      </c>
      <c r="G64">
        <v>0</v>
      </c>
      <c r="H64">
        <v>0</v>
      </c>
      <c r="I64">
        <v>0.17319999999999999</v>
      </c>
      <c r="J64">
        <v>0.2203852</v>
      </c>
      <c r="K64">
        <v>6.6879999999999997</v>
      </c>
      <c r="L64">
        <v>8</v>
      </c>
      <c r="M64">
        <v>3</v>
      </c>
      <c r="N64">
        <v>3</v>
      </c>
      <c r="O64">
        <v>1</v>
      </c>
      <c r="P64">
        <v>14</v>
      </c>
      <c r="Q64">
        <v>19</v>
      </c>
      <c r="R64">
        <f>Estadisticas_jugador[[#This Row],[tackles]]+Estadisticas_jugador[[#This Row],[interceptions]]</f>
        <v>33</v>
      </c>
      <c r="S64">
        <v>0</v>
      </c>
    </row>
    <row r="65" spans="1:19" x14ac:dyDescent="0.3">
      <c r="A65" t="s">
        <v>613</v>
      </c>
      <c r="B65" t="s">
        <v>7</v>
      </c>
      <c r="C65">
        <v>13</v>
      </c>
      <c r="D65">
        <v>12</v>
      </c>
      <c r="E65">
        <v>936</v>
      </c>
      <c r="F65" t="str">
        <f>IF(Estadisticas_jugador[[#This Row],[minutes_played]]&gt;900, "Si", "No")</f>
        <v>Si</v>
      </c>
      <c r="G65">
        <v>0</v>
      </c>
      <c r="H65">
        <v>0</v>
      </c>
      <c r="I65">
        <v>0.12479999999999999</v>
      </c>
      <c r="J65">
        <v>0.17769758999999999</v>
      </c>
      <c r="K65">
        <v>7.1461538461538003</v>
      </c>
      <c r="L65">
        <v>2</v>
      </c>
      <c r="M65">
        <v>0</v>
      </c>
      <c r="N65">
        <v>2</v>
      </c>
      <c r="O65">
        <v>0</v>
      </c>
      <c r="P65">
        <v>20</v>
      </c>
      <c r="Q65">
        <v>16</v>
      </c>
      <c r="R65">
        <f>Estadisticas_jugador[[#This Row],[tackles]]+Estadisticas_jugador[[#This Row],[interceptions]]</f>
        <v>36</v>
      </c>
      <c r="S65">
        <v>0</v>
      </c>
    </row>
    <row r="66" spans="1:19" x14ac:dyDescent="0.3">
      <c r="A66" t="s">
        <v>614</v>
      </c>
      <c r="B66" t="s">
        <v>7</v>
      </c>
      <c r="C66">
        <v>22</v>
      </c>
      <c r="D66">
        <v>21</v>
      </c>
      <c r="E66">
        <v>1876</v>
      </c>
      <c r="F66" t="str">
        <f>IF(Estadisticas_jugador[[#This Row],[minutes_played]]&gt;900, "Si", "No")</f>
        <v>Si</v>
      </c>
      <c r="G66">
        <v>1</v>
      </c>
      <c r="H66">
        <v>2</v>
      </c>
      <c r="I66">
        <v>1.0067999999999999</v>
      </c>
      <c r="J66">
        <v>0.41121157000000003</v>
      </c>
      <c r="K66">
        <v>6.9772727272727</v>
      </c>
      <c r="L66">
        <v>13</v>
      </c>
      <c r="M66">
        <v>3</v>
      </c>
      <c r="N66">
        <v>7</v>
      </c>
      <c r="O66">
        <v>1</v>
      </c>
      <c r="P66">
        <v>80</v>
      </c>
      <c r="Q66">
        <v>25</v>
      </c>
      <c r="R66">
        <f>Estadisticas_jugador[[#This Row],[tackles]]+Estadisticas_jugador[[#This Row],[interceptions]]</f>
        <v>105</v>
      </c>
      <c r="S66">
        <v>0</v>
      </c>
    </row>
    <row r="67" spans="1:19" x14ac:dyDescent="0.3">
      <c r="A67" t="s">
        <v>615</v>
      </c>
      <c r="B67" t="s">
        <v>7</v>
      </c>
      <c r="C67">
        <v>18</v>
      </c>
      <c r="D67">
        <v>17</v>
      </c>
      <c r="E67">
        <v>1575</v>
      </c>
      <c r="F67" t="str">
        <f>IF(Estadisticas_jugador[[#This Row],[minutes_played]]&gt;900, "Si", "No")</f>
        <v>Si</v>
      </c>
      <c r="G67">
        <v>1</v>
      </c>
      <c r="H67">
        <v>0</v>
      </c>
      <c r="I67">
        <v>0.35220000000000001</v>
      </c>
      <c r="J67">
        <v>0.63092245999999996</v>
      </c>
      <c r="K67">
        <v>7.0444444444443999</v>
      </c>
      <c r="L67">
        <v>4</v>
      </c>
      <c r="M67">
        <v>1</v>
      </c>
      <c r="N67">
        <v>1</v>
      </c>
      <c r="O67">
        <v>0</v>
      </c>
      <c r="P67">
        <v>28</v>
      </c>
      <c r="Q67">
        <v>18</v>
      </c>
      <c r="R67">
        <f>Estadisticas_jugador[[#This Row],[tackles]]+Estadisticas_jugador[[#This Row],[interceptions]]</f>
        <v>46</v>
      </c>
      <c r="S67">
        <v>0</v>
      </c>
    </row>
    <row r="68" spans="1:19" x14ac:dyDescent="0.3">
      <c r="A68" t="s">
        <v>616</v>
      </c>
      <c r="B68" t="s">
        <v>7</v>
      </c>
      <c r="C68">
        <v>23</v>
      </c>
      <c r="D68">
        <v>16</v>
      </c>
      <c r="E68">
        <v>1547</v>
      </c>
      <c r="F68" t="str">
        <f>IF(Estadisticas_jugador[[#This Row],[minutes_played]]&gt;900, "Si", "No")</f>
        <v>Si</v>
      </c>
      <c r="G68">
        <v>0</v>
      </c>
      <c r="H68">
        <v>3</v>
      </c>
      <c r="I68">
        <v>0.85399999999999998</v>
      </c>
      <c r="J68">
        <v>2.1922870300000001</v>
      </c>
      <c r="K68">
        <v>6.6739130434782998</v>
      </c>
      <c r="L68">
        <v>14</v>
      </c>
      <c r="M68">
        <v>3</v>
      </c>
      <c r="N68">
        <v>4</v>
      </c>
      <c r="O68">
        <v>0</v>
      </c>
      <c r="P68">
        <v>36</v>
      </c>
      <c r="Q68">
        <v>29</v>
      </c>
      <c r="R68">
        <f>Estadisticas_jugador[[#This Row],[tackles]]+Estadisticas_jugador[[#This Row],[interceptions]]</f>
        <v>65</v>
      </c>
      <c r="S68">
        <v>0</v>
      </c>
    </row>
    <row r="69" spans="1:19" x14ac:dyDescent="0.3">
      <c r="A69" t="s">
        <v>617</v>
      </c>
      <c r="B69" t="s">
        <v>7</v>
      </c>
      <c r="C69">
        <v>4</v>
      </c>
      <c r="D69">
        <v>0</v>
      </c>
      <c r="E69">
        <v>54</v>
      </c>
      <c r="F69" t="str">
        <f>IF(Estadisticas_jugador[[#This Row],[minutes_played]]&gt;900, "Si", "No")</f>
        <v>No</v>
      </c>
      <c r="G69">
        <v>0</v>
      </c>
      <c r="H69">
        <v>0</v>
      </c>
      <c r="J69">
        <v>9.5001600000000005E-3</v>
      </c>
      <c r="K69">
        <v>6.55</v>
      </c>
      <c r="L69">
        <v>0</v>
      </c>
      <c r="M69">
        <v>0</v>
      </c>
      <c r="N69">
        <v>0</v>
      </c>
      <c r="O69">
        <v>0</v>
      </c>
      <c r="P69">
        <v>2</v>
      </c>
      <c r="Q69">
        <v>1</v>
      </c>
      <c r="R69">
        <f>Estadisticas_jugador[[#This Row],[tackles]]+Estadisticas_jugador[[#This Row],[interceptions]]</f>
        <v>3</v>
      </c>
      <c r="S69">
        <v>0</v>
      </c>
    </row>
    <row r="70" spans="1:19" x14ac:dyDescent="0.3">
      <c r="A70" t="s">
        <v>618</v>
      </c>
      <c r="B70" t="s">
        <v>7</v>
      </c>
      <c r="C70">
        <v>22</v>
      </c>
      <c r="D70">
        <v>14</v>
      </c>
      <c r="E70">
        <v>1302</v>
      </c>
      <c r="F70" t="str">
        <f>IF(Estadisticas_jugador[[#This Row],[minutes_played]]&gt;900, "Si", "No")</f>
        <v>Si</v>
      </c>
      <c r="G70">
        <v>1</v>
      </c>
      <c r="H70">
        <v>2</v>
      </c>
      <c r="I70">
        <v>1.0871</v>
      </c>
      <c r="J70">
        <v>2.1781108100000002</v>
      </c>
      <c r="K70">
        <v>6.7952380952381004</v>
      </c>
      <c r="L70">
        <v>10</v>
      </c>
      <c r="M70">
        <v>3</v>
      </c>
      <c r="N70">
        <v>6</v>
      </c>
      <c r="O70">
        <v>0</v>
      </c>
      <c r="P70">
        <v>34</v>
      </c>
      <c r="Q70">
        <v>21</v>
      </c>
      <c r="R70">
        <f>Estadisticas_jugador[[#This Row],[tackles]]+Estadisticas_jugador[[#This Row],[interceptions]]</f>
        <v>55</v>
      </c>
      <c r="S70">
        <v>0</v>
      </c>
    </row>
    <row r="71" spans="1:19" x14ac:dyDescent="0.3">
      <c r="A71" t="s">
        <v>619</v>
      </c>
      <c r="B71" t="s">
        <v>7</v>
      </c>
      <c r="C71">
        <v>17</v>
      </c>
      <c r="D71">
        <v>17</v>
      </c>
      <c r="E71">
        <v>1438</v>
      </c>
      <c r="F71" t="str">
        <f>IF(Estadisticas_jugador[[#This Row],[minutes_played]]&gt;900, "Si", "No")</f>
        <v>Si</v>
      </c>
      <c r="G71">
        <v>0</v>
      </c>
      <c r="H71">
        <v>0</v>
      </c>
      <c r="I71">
        <v>2.2100000000000002E-2</v>
      </c>
      <c r="J71">
        <v>0.14945261000000001</v>
      </c>
      <c r="K71">
        <v>6.8352941176471003</v>
      </c>
      <c r="L71">
        <v>1</v>
      </c>
      <c r="M71">
        <v>1</v>
      </c>
      <c r="N71">
        <v>3</v>
      </c>
      <c r="O71">
        <v>0</v>
      </c>
      <c r="P71">
        <v>59</v>
      </c>
      <c r="Q71">
        <v>15</v>
      </c>
      <c r="R71">
        <f>Estadisticas_jugador[[#This Row],[tackles]]+Estadisticas_jugador[[#This Row],[interceptions]]</f>
        <v>74</v>
      </c>
      <c r="S71">
        <v>0</v>
      </c>
    </row>
    <row r="72" spans="1:19" x14ac:dyDescent="0.3">
      <c r="A72" t="s">
        <v>620</v>
      </c>
      <c r="B72" t="s">
        <v>7</v>
      </c>
      <c r="C72">
        <v>3</v>
      </c>
      <c r="D72">
        <v>3</v>
      </c>
      <c r="E72">
        <v>270</v>
      </c>
      <c r="F72" t="str">
        <f>IF(Estadisticas_jugador[[#This Row],[minutes_played]]&gt;900, "Si", "No")</f>
        <v>No</v>
      </c>
      <c r="G72">
        <v>0</v>
      </c>
      <c r="H72">
        <v>0</v>
      </c>
      <c r="J72">
        <v>4.73143E-3</v>
      </c>
      <c r="K72">
        <v>6.3333333333333002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f>Estadisticas_jugador[[#This Row],[tackles]]+Estadisticas_jugador[[#This Row],[interceptions]]</f>
        <v>1</v>
      </c>
      <c r="S72">
        <v>6</v>
      </c>
    </row>
    <row r="73" spans="1:19" x14ac:dyDescent="0.3">
      <c r="A73" t="s">
        <v>621</v>
      </c>
      <c r="B73" t="s">
        <v>7</v>
      </c>
      <c r="C73">
        <v>26</v>
      </c>
      <c r="D73">
        <v>26</v>
      </c>
      <c r="E73">
        <v>2340</v>
      </c>
      <c r="F73" t="str">
        <f>IF(Estadisticas_jugador[[#This Row],[minutes_played]]&gt;900, "Si", "No")</f>
        <v>Si</v>
      </c>
      <c r="G73">
        <v>0</v>
      </c>
      <c r="H73">
        <v>0</v>
      </c>
      <c r="J73">
        <v>2.1987409999999999E-2</v>
      </c>
      <c r="K73">
        <v>6.9461538461538002</v>
      </c>
      <c r="L73">
        <v>0</v>
      </c>
      <c r="M73">
        <v>0</v>
      </c>
      <c r="N73">
        <v>3</v>
      </c>
      <c r="O73">
        <v>0</v>
      </c>
      <c r="P73">
        <v>0</v>
      </c>
      <c r="Q73">
        <v>1</v>
      </c>
      <c r="R73">
        <f>Estadisticas_jugador[[#This Row],[tackles]]+Estadisticas_jugador[[#This Row],[interceptions]]</f>
        <v>1</v>
      </c>
      <c r="S73">
        <v>66</v>
      </c>
    </row>
    <row r="74" spans="1:19" x14ac:dyDescent="0.3">
      <c r="A74" t="s">
        <v>622</v>
      </c>
      <c r="B74" t="s">
        <v>7</v>
      </c>
      <c r="C74">
        <v>29</v>
      </c>
      <c r="D74">
        <v>22</v>
      </c>
      <c r="E74">
        <v>1902</v>
      </c>
      <c r="F74" t="str">
        <f>IF(Estadisticas_jugador[[#This Row],[minutes_played]]&gt;900, "Si", "No")</f>
        <v>Si</v>
      </c>
      <c r="G74">
        <v>8</v>
      </c>
      <c r="H74">
        <v>4</v>
      </c>
      <c r="I74">
        <v>7.6955</v>
      </c>
      <c r="J74">
        <v>5.1259978200000003</v>
      </c>
      <c r="K74">
        <v>6.9551724137931004</v>
      </c>
      <c r="L74">
        <v>54</v>
      </c>
      <c r="M74">
        <v>26</v>
      </c>
      <c r="N74">
        <v>2</v>
      </c>
      <c r="O74">
        <v>0</v>
      </c>
      <c r="P74">
        <v>21</v>
      </c>
      <c r="Q74">
        <v>3</v>
      </c>
      <c r="R74">
        <f>Estadisticas_jugador[[#This Row],[tackles]]+Estadisticas_jugador[[#This Row],[interceptions]]</f>
        <v>24</v>
      </c>
      <c r="S74">
        <v>0</v>
      </c>
    </row>
    <row r="75" spans="1:19" x14ac:dyDescent="0.3">
      <c r="A75" t="s">
        <v>623</v>
      </c>
      <c r="B75" t="s">
        <v>7</v>
      </c>
      <c r="C75">
        <v>26</v>
      </c>
      <c r="D75">
        <v>7</v>
      </c>
      <c r="E75">
        <v>975</v>
      </c>
      <c r="F75" t="str">
        <f>IF(Estadisticas_jugador[[#This Row],[minutes_played]]&gt;900, "Si", "No")</f>
        <v>Si</v>
      </c>
      <c r="G75">
        <v>6</v>
      </c>
      <c r="H75">
        <v>1</v>
      </c>
      <c r="I75">
        <v>5.8992000000000004</v>
      </c>
      <c r="J75">
        <v>2.2653704800000001</v>
      </c>
      <c r="K75">
        <v>6.8923076923076998</v>
      </c>
      <c r="L75">
        <v>34</v>
      </c>
      <c r="M75">
        <v>18</v>
      </c>
      <c r="N75">
        <v>0</v>
      </c>
      <c r="O75">
        <v>0</v>
      </c>
      <c r="P75">
        <v>10</v>
      </c>
      <c r="Q75">
        <v>3</v>
      </c>
      <c r="R75">
        <f>Estadisticas_jugador[[#This Row],[tackles]]+Estadisticas_jugador[[#This Row],[interceptions]]</f>
        <v>13</v>
      </c>
      <c r="S75">
        <v>0</v>
      </c>
    </row>
    <row r="76" spans="1:19" x14ac:dyDescent="0.3">
      <c r="A76" t="s">
        <v>624</v>
      </c>
      <c r="B76" t="s">
        <v>7</v>
      </c>
      <c r="C76">
        <v>7</v>
      </c>
      <c r="D76">
        <v>5</v>
      </c>
      <c r="E76">
        <v>337</v>
      </c>
      <c r="F76" t="str">
        <f>IF(Estadisticas_jugador[[#This Row],[minutes_played]]&gt;900, "Si", "No")</f>
        <v>No</v>
      </c>
      <c r="G76">
        <v>2</v>
      </c>
      <c r="H76">
        <v>0</v>
      </c>
      <c r="I76">
        <v>1.7504999999999999</v>
      </c>
      <c r="J76">
        <v>0.23662684</v>
      </c>
      <c r="K76">
        <v>6.8</v>
      </c>
      <c r="L76">
        <v>13</v>
      </c>
      <c r="M76">
        <v>3</v>
      </c>
      <c r="N76">
        <v>1</v>
      </c>
      <c r="O76">
        <v>0</v>
      </c>
      <c r="P76">
        <v>2</v>
      </c>
      <c r="Q76">
        <v>1</v>
      </c>
      <c r="R76">
        <f>Estadisticas_jugador[[#This Row],[tackles]]+Estadisticas_jugador[[#This Row],[interceptions]]</f>
        <v>3</v>
      </c>
      <c r="S76">
        <v>0</v>
      </c>
    </row>
    <row r="77" spans="1:19" x14ac:dyDescent="0.3">
      <c r="A77" t="s">
        <v>625</v>
      </c>
      <c r="B77" t="s">
        <v>7</v>
      </c>
      <c r="C77">
        <v>28</v>
      </c>
      <c r="D77">
        <v>17</v>
      </c>
      <c r="E77">
        <v>1563</v>
      </c>
      <c r="F77" t="str">
        <f>IF(Estadisticas_jugador[[#This Row],[minutes_played]]&gt;900, "Si", "No")</f>
        <v>Si</v>
      </c>
      <c r="G77">
        <v>10</v>
      </c>
      <c r="H77">
        <v>0</v>
      </c>
      <c r="I77">
        <v>7.3960999999999997</v>
      </c>
      <c r="J77">
        <v>0.84432655000000001</v>
      </c>
      <c r="K77">
        <v>6.7714285714285998</v>
      </c>
      <c r="L77">
        <v>53</v>
      </c>
      <c r="M77">
        <v>28</v>
      </c>
      <c r="N77">
        <v>4</v>
      </c>
      <c r="O77">
        <v>1</v>
      </c>
      <c r="P77">
        <v>12</v>
      </c>
      <c r="Q77">
        <v>0</v>
      </c>
      <c r="R77">
        <f>Estadisticas_jugador[[#This Row],[tackles]]+Estadisticas_jugador[[#This Row],[interceptions]]</f>
        <v>12</v>
      </c>
      <c r="S77">
        <v>0</v>
      </c>
    </row>
    <row r="78" spans="1:19" x14ac:dyDescent="0.3">
      <c r="A78" t="s">
        <v>626</v>
      </c>
      <c r="B78" t="s">
        <v>7</v>
      </c>
      <c r="C78">
        <v>20</v>
      </c>
      <c r="D78">
        <v>11</v>
      </c>
      <c r="E78">
        <v>910</v>
      </c>
      <c r="F78" t="str">
        <f>IF(Estadisticas_jugador[[#This Row],[minutes_played]]&gt;900, "Si", "No")</f>
        <v>Si</v>
      </c>
      <c r="G78">
        <v>3</v>
      </c>
      <c r="H78">
        <v>1</v>
      </c>
      <c r="I78">
        <v>3.5005000000000002</v>
      </c>
      <c r="J78">
        <v>1.4224518399999999</v>
      </c>
      <c r="K78">
        <v>6.92</v>
      </c>
      <c r="L78">
        <v>17</v>
      </c>
      <c r="M78">
        <v>10</v>
      </c>
      <c r="N78">
        <v>1</v>
      </c>
      <c r="O78">
        <v>0</v>
      </c>
      <c r="P78">
        <v>19</v>
      </c>
      <c r="Q78">
        <v>5</v>
      </c>
      <c r="R78">
        <f>Estadisticas_jugador[[#This Row],[tackles]]+Estadisticas_jugador[[#This Row],[interceptions]]</f>
        <v>24</v>
      </c>
      <c r="S78">
        <v>0</v>
      </c>
    </row>
    <row r="79" spans="1:19" x14ac:dyDescent="0.3">
      <c r="A79" t="s">
        <v>627</v>
      </c>
      <c r="B79" t="s">
        <v>7</v>
      </c>
      <c r="C79">
        <v>21</v>
      </c>
      <c r="D79">
        <v>16</v>
      </c>
      <c r="E79">
        <v>1291</v>
      </c>
      <c r="F79" t="str">
        <f>IF(Estadisticas_jugador[[#This Row],[minutes_played]]&gt;900, "Si", "No")</f>
        <v>Si</v>
      </c>
      <c r="G79">
        <v>3</v>
      </c>
      <c r="H79">
        <v>0</v>
      </c>
      <c r="I79">
        <v>3.343</v>
      </c>
      <c r="J79">
        <v>1.9138552499999999</v>
      </c>
      <c r="K79">
        <v>6.8619047619047997</v>
      </c>
      <c r="L79">
        <v>40</v>
      </c>
      <c r="M79">
        <v>18</v>
      </c>
      <c r="N79">
        <v>3</v>
      </c>
      <c r="O79">
        <v>0</v>
      </c>
      <c r="P79">
        <v>20</v>
      </c>
      <c r="Q79">
        <v>11</v>
      </c>
      <c r="R79">
        <f>Estadisticas_jugador[[#This Row],[tackles]]+Estadisticas_jugador[[#This Row],[interceptions]]</f>
        <v>31</v>
      </c>
      <c r="S79">
        <v>0</v>
      </c>
    </row>
    <row r="80" spans="1:19" x14ac:dyDescent="0.3">
      <c r="A80" t="s">
        <v>628</v>
      </c>
      <c r="B80" t="s">
        <v>7</v>
      </c>
      <c r="C80">
        <v>26</v>
      </c>
      <c r="D80">
        <v>21</v>
      </c>
      <c r="E80">
        <v>1858</v>
      </c>
      <c r="F80" t="str">
        <f>IF(Estadisticas_jugador[[#This Row],[minutes_played]]&gt;900, "Si", "No")</f>
        <v>Si</v>
      </c>
      <c r="G80">
        <v>3</v>
      </c>
      <c r="H80">
        <v>6</v>
      </c>
      <c r="I80">
        <v>4.4494999999999996</v>
      </c>
      <c r="J80">
        <v>4.7465124599999999</v>
      </c>
      <c r="K80">
        <v>6.9076923076923</v>
      </c>
      <c r="L80">
        <v>33</v>
      </c>
      <c r="M80">
        <v>12</v>
      </c>
      <c r="N80">
        <v>1</v>
      </c>
      <c r="O80">
        <v>0</v>
      </c>
      <c r="P80">
        <v>35</v>
      </c>
      <c r="Q80">
        <v>17</v>
      </c>
      <c r="R80">
        <f>Estadisticas_jugador[[#This Row],[tackles]]+Estadisticas_jugador[[#This Row],[interceptions]]</f>
        <v>52</v>
      </c>
      <c r="S80">
        <v>0</v>
      </c>
    </row>
    <row r="81" spans="1:19" x14ac:dyDescent="0.3">
      <c r="A81" t="s">
        <v>629</v>
      </c>
      <c r="B81" t="s">
        <v>7</v>
      </c>
      <c r="C81">
        <v>20</v>
      </c>
      <c r="D81">
        <v>14</v>
      </c>
      <c r="E81">
        <v>1078</v>
      </c>
      <c r="F81" t="str">
        <f>IF(Estadisticas_jugador[[#This Row],[minutes_played]]&gt;900, "Si", "No")</f>
        <v>Si</v>
      </c>
      <c r="G81">
        <v>2</v>
      </c>
      <c r="H81">
        <v>2</v>
      </c>
      <c r="I81">
        <v>1.7081999999999999</v>
      </c>
      <c r="J81">
        <v>3.7547886300000002</v>
      </c>
      <c r="K81">
        <v>6.9789473684210996</v>
      </c>
      <c r="L81">
        <v>21</v>
      </c>
      <c r="M81">
        <v>6</v>
      </c>
      <c r="N81">
        <v>3</v>
      </c>
      <c r="O81">
        <v>0</v>
      </c>
      <c r="P81">
        <v>12</v>
      </c>
      <c r="Q81">
        <v>9</v>
      </c>
      <c r="R81">
        <f>Estadisticas_jugador[[#This Row],[tackles]]+Estadisticas_jugador[[#This Row],[interceptions]]</f>
        <v>21</v>
      </c>
      <c r="S81">
        <v>0</v>
      </c>
    </row>
    <row r="82" spans="1:19" x14ac:dyDescent="0.3">
      <c r="A82" t="s">
        <v>630</v>
      </c>
      <c r="B82" t="s">
        <v>7</v>
      </c>
      <c r="C82">
        <v>13</v>
      </c>
      <c r="D82">
        <v>11</v>
      </c>
      <c r="E82">
        <v>770</v>
      </c>
      <c r="F82" t="str">
        <f>IF(Estadisticas_jugador[[#This Row],[minutes_played]]&gt;900, "Si", "No")</f>
        <v>No</v>
      </c>
      <c r="G82">
        <v>0</v>
      </c>
      <c r="H82">
        <v>0</v>
      </c>
      <c r="I82">
        <v>7.7799999999999994E-2</v>
      </c>
      <c r="J82">
        <v>0.44245393999999999</v>
      </c>
      <c r="K82">
        <v>6.8538461538461997</v>
      </c>
      <c r="L82">
        <v>2</v>
      </c>
      <c r="M82">
        <v>0</v>
      </c>
      <c r="N82">
        <v>5</v>
      </c>
      <c r="O82">
        <v>0</v>
      </c>
      <c r="P82">
        <v>32</v>
      </c>
      <c r="Q82">
        <v>12</v>
      </c>
      <c r="R82">
        <f>Estadisticas_jugador[[#This Row],[tackles]]+Estadisticas_jugador[[#This Row],[interceptions]]</f>
        <v>44</v>
      </c>
      <c r="S82">
        <v>0</v>
      </c>
    </row>
    <row r="83" spans="1:19" x14ac:dyDescent="0.3">
      <c r="A83" t="s">
        <v>631</v>
      </c>
      <c r="B83" t="s">
        <v>7</v>
      </c>
      <c r="C83">
        <v>21</v>
      </c>
      <c r="D83">
        <v>19</v>
      </c>
      <c r="E83">
        <v>1580</v>
      </c>
      <c r="F83" t="str">
        <f>IF(Estadisticas_jugador[[#This Row],[minutes_played]]&gt;900, "Si", "No")</f>
        <v>Si</v>
      </c>
      <c r="G83">
        <v>1</v>
      </c>
      <c r="H83">
        <v>1</v>
      </c>
      <c r="I83">
        <v>1.7035</v>
      </c>
      <c r="J83">
        <v>2.0450784</v>
      </c>
      <c r="K83">
        <v>7.0476190476190004</v>
      </c>
      <c r="L83">
        <v>21</v>
      </c>
      <c r="M83">
        <v>6</v>
      </c>
      <c r="N83">
        <v>0</v>
      </c>
      <c r="O83">
        <v>0</v>
      </c>
      <c r="P83">
        <v>29</v>
      </c>
      <c r="Q83">
        <v>23</v>
      </c>
      <c r="R83">
        <f>Estadisticas_jugador[[#This Row],[tackles]]+Estadisticas_jugador[[#This Row],[interceptions]]</f>
        <v>52</v>
      </c>
      <c r="S83">
        <v>0</v>
      </c>
    </row>
    <row r="84" spans="1:19" x14ac:dyDescent="0.3">
      <c r="A84" t="s">
        <v>632</v>
      </c>
      <c r="B84" t="s">
        <v>7</v>
      </c>
      <c r="C84">
        <v>27</v>
      </c>
      <c r="D84">
        <v>18</v>
      </c>
      <c r="E84">
        <v>1742</v>
      </c>
      <c r="F84" t="str">
        <f>IF(Estadisticas_jugador[[#This Row],[minutes_played]]&gt;900, "Si", "No")</f>
        <v>Si</v>
      </c>
      <c r="G84">
        <v>2</v>
      </c>
      <c r="H84">
        <v>2</v>
      </c>
      <c r="I84">
        <v>0.41970000000000002</v>
      </c>
      <c r="J84">
        <v>3.48243773</v>
      </c>
      <c r="K84">
        <v>7.1333333333333</v>
      </c>
      <c r="L84">
        <v>10</v>
      </c>
      <c r="M84">
        <v>4</v>
      </c>
      <c r="N84">
        <v>4</v>
      </c>
      <c r="O84">
        <v>0</v>
      </c>
      <c r="P84">
        <v>38</v>
      </c>
      <c r="Q84">
        <v>16</v>
      </c>
      <c r="R84">
        <f>Estadisticas_jugador[[#This Row],[tackles]]+Estadisticas_jugador[[#This Row],[interceptions]]</f>
        <v>54</v>
      </c>
      <c r="S84">
        <v>0</v>
      </c>
    </row>
    <row r="85" spans="1:19" x14ac:dyDescent="0.3">
      <c r="A85" t="s">
        <v>633</v>
      </c>
      <c r="B85" t="s">
        <v>7</v>
      </c>
      <c r="C85">
        <v>3</v>
      </c>
      <c r="D85">
        <v>1</v>
      </c>
      <c r="E85">
        <v>127</v>
      </c>
      <c r="F85" t="str">
        <f>IF(Estadisticas_jugador[[#This Row],[minutes_played]]&gt;900, "Si", "No")</f>
        <v>No</v>
      </c>
      <c r="G85">
        <v>0</v>
      </c>
      <c r="H85">
        <v>0</v>
      </c>
      <c r="J85">
        <v>5.6295770000000002E-2</v>
      </c>
      <c r="K85">
        <v>6.8333333333333002</v>
      </c>
      <c r="L85">
        <v>0</v>
      </c>
      <c r="M85">
        <v>0</v>
      </c>
      <c r="N85">
        <v>1</v>
      </c>
      <c r="O85">
        <v>0</v>
      </c>
      <c r="P85">
        <v>5</v>
      </c>
      <c r="Q85">
        <v>0</v>
      </c>
      <c r="R85">
        <f>Estadisticas_jugador[[#This Row],[tackles]]+Estadisticas_jugador[[#This Row],[interceptions]]</f>
        <v>5</v>
      </c>
      <c r="S85">
        <v>0</v>
      </c>
    </row>
    <row r="86" spans="1:19" x14ac:dyDescent="0.3">
      <c r="A86" t="s">
        <v>634</v>
      </c>
      <c r="B86" t="s">
        <v>7</v>
      </c>
      <c r="C86">
        <v>20</v>
      </c>
      <c r="D86">
        <v>10</v>
      </c>
      <c r="E86">
        <v>1007</v>
      </c>
      <c r="F86" t="str">
        <f>IF(Estadisticas_jugador[[#This Row],[minutes_played]]&gt;900, "Si", "No")</f>
        <v>Si</v>
      </c>
      <c r="G86">
        <v>1</v>
      </c>
      <c r="H86">
        <v>0</v>
      </c>
      <c r="I86">
        <v>0.74009999999999998</v>
      </c>
      <c r="J86">
        <v>0.94044627999999997</v>
      </c>
      <c r="K86">
        <v>6.57</v>
      </c>
      <c r="L86">
        <v>14</v>
      </c>
      <c r="M86">
        <v>2</v>
      </c>
      <c r="N86">
        <v>5</v>
      </c>
      <c r="O86">
        <v>0</v>
      </c>
      <c r="P86">
        <v>16</v>
      </c>
      <c r="Q86">
        <v>4</v>
      </c>
      <c r="R86">
        <f>Estadisticas_jugador[[#This Row],[tackles]]+Estadisticas_jugador[[#This Row],[interceptions]]</f>
        <v>20</v>
      </c>
      <c r="S86">
        <v>0</v>
      </c>
    </row>
    <row r="87" spans="1:19" x14ac:dyDescent="0.3">
      <c r="A87" t="s">
        <v>635</v>
      </c>
      <c r="B87" t="s">
        <v>7</v>
      </c>
      <c r="C87">
        <v>21</v>
      </c>
      <c r="D87">
        <v>11</v>
      </c>
      <c r="E87">
        <v>1050</v>
      </c>
      <c r="F87" t="str">
        <f>IF(Estadisticas_jugador[[#This Row],[minutes_played]]&gt;900, "Si", "No")</f>
        <v>Si</v>
      </c>
      <c r="G87">
        <v>2</v>
      </c>
      <c r="H87">
        <v>1</v>
      </c>
      <c r="I87">
        <v>0.37859999999999999</v>
      </c>
      <c r="J87">
        <v>1.20990541</v>
      </c>
      <c r="K87">
        <v>6.7750000000000004</v>
      </c>
      <c r="L87">
        <v>10</v>
      </c>
      <c r="M87">
        <v>3</v>
      </c>
      <c r="N87">
        <v>3</v>
      </c>
      <c r="O87">
        <v>0</v>
      </c>
      <c r="P87">
        <v>27</v>
      </c>
      <c r="Q87">
        <v>13</v>
      </c>
      <c r="R87">
        <f>Estadisticas_jugador[[#This Row],[tackles]]+Estadisticas_jugador[[#This Row],[interceptions]]</f>
        <v>40</v>
      </c>
      <c r="S87">
        <v>0</v>
      </c>
    </row>
    <row r="88" spans="1:19" x14ac:dyDescent="0.3">
      <c r="A88" t="s">
        <v>636</v>
      </c>
      <c r="B88" t="s">
        <v>7</v>
      </c>
      <c r="C88">
        <v>25</v>
      </c>
      <c r="D88">
        <v>21</v>
      </c>
      <c r="E88">
        <v>1862</v>
      </c>
      <c r="F88" t="str">
        <f>IF(Estadisticas_jugador[[#This Row],[minutes_played]]&gt;900, "Si", "No")</f>
        <v>Si</v>
      </c>
      <c r="G88">
        <v>0</v>
      </c>
      <c r="H88">
        <v>4</v>
      </c>
      <c r="I88">
        <v>1.8694</v>
      </c>
      <c r="J88">
        <v>3.1629828500000001</v>
      </c>
      <c r="K88">
        <v>6.968</v>
      </c>
      <c r="L88">
        <v>16</v>
      </c>
      <c r="M88">
        <v>6</v>
      </c>
      <c r="N88">
        <v>5</v>
      </c>
      <c r="O88">
        <v>0</v>
      </c>
      <c r="P88">
        <v>46</v>
      </c>
      <c r="Q88">
        <v>9</v>
      </c>
      <c r="R88">
        <f>Estadisticas_jugador[[#This Row],[tackles]]+Estadisticas_jugador[[#This Row],[interceptions]]</f>
        <v>55</v>
      </c>
      <c r="S88">
        <v>0</v>
      </c>
    </row>
    <row r="89" spans="1:19" x14ac:dyDescent="0.3">
      <c r="A89" t="s">
        <v>637</v>
      </c>
      <c r="B89" t="s">
        <v>7</v>
      </c>
      <c r="C89">
        <v>12</v>
      </c>
      <c r="D89">
        <v>12</v>
      </c>
      <c r="E89">
        <v>930</v>
      </c>
      <c r="F89" t="str">
        <f>IF(Estadisticas_jugador[[#This Row],[minutes_played]]&gt;900, "Si", "No")</f>
        <v>Si</v>
      </c>
      <c r="G89">
        <v>0</v>
      </c>
      <c r="H89">
        <v>0</v>
      </c>
      <c r="I89">
        <v>0.2016</v>
      </c>
      <c r="J89">
        <v>0.24809792</v>
      </c>
      <c r="K89">
        <v>6.7666666666667004</v>
      </c>
      <c r="L89">
        <v>3</v>
      </c>
      <c r="M89">
        <v>0</v>
      </c>
      <c r="N89">
        <v>2</v>
      </c>
      <c r="O89">
        <v>1</v>
      </c>
      <c r="P89">
        <v>9</v>
      </c>
      <c r="Q89">
        <v>14</v>
      </c>
      <c r="R89">
        <f>Estadisticas_jugador[[#This Row],[tackles]]+Estadisticas_jugador[[#This Row],[interceptions]]</f>
        <v>23</v>
      </c>
      <c r="S89">
        <v>0</v>
      </c>
    </row>
    <row r="90" spans="1:19" x14ac:dyDescent="0.3">
      <c r="A90" t="s">
        <v>638</v>
      </c>
      <c r="B90" t="s">
        <v>7</v>
      </c>
      <c r="C90">
        <v>21</v>
      </c>
      <c r="D90">
        <v>13</v>
      </c>
      <c r="E90">
        <v>1335</v>
      </c>
      <c r="F90" t="str">
        <f>IF(Estadisticas_jugador[[#This Row],[minutes_played]]&gt;900, "Si", "No")</f>
        <v>Si</v>
      </c>
      <c r="G90">
        <v>1</v>
      </c>
      <c r="H90">
        <v>0</v>
      </c>
      <c r="I90">
        <v>0.43569999999999998</v>
      </c>
      <c r="J90">
        <v>0.27052176</v>
      </c>
      <c r="K90">
        <v>6.852380952381</v>
      </c>
      <c r="L90">
        <v>3</v>
      </c>
      <c r="M90">
        <v>1</v>
      </c>
      <c r="N90">
        <v>3</v>
      </c>
      <c r="O90">
        <v>0</v>
      </c>
      <c r="P90">
        <v>20</v>
      </c>
      <c r="Q90">
        <v>10</v>
      </c>
      <c r="R90">
        <f>Estadisticas_jugador[[#This Row],[tackles]]+Estadisticas_jugador[[#This Row],[interceptions]]</f>
        <v>30</v>
      </c>
      <c r="S90">
        <v>0</v>
      </c>
    </row>
    <row r="91" spans="1:19" x14ac:dyDescent="0.3">
      <c r="A91" t="s">
        <v>639</v>
      </c>
      <c r="B91" t="s">
        <v>7</v>
      </c>
      <c r="C91">
        <v>14</v>
      </c>
      <c r="D91">
        <v>12</v>
      </c>
      <c r="E91">
        <v>1128</v>
      </c>
      <c r="F91" t="str">
        <f>IF(Estadisticas_jugador[[#This Row],[minutes_played]]&gt;900, "Si", "No")</f>
        <v>Si</v>
      </c>
      <c r="G91">
        <v>0</v>
      </c>
      <c r="H91">
        <v>1</v>
      </c>
      <c r="I91">
        <v>1.7370000000000001</v>
      </c>
      <c r="J91">
        <v>0.44412489999999999</v>
      </c>
      <c r="K91">
        <v>6.9230769230769003</v>
      </c>
      <c r="L91">
        <v>13</v>
      </c>
      <c r="M91">
        <v>3</v>
      </c>
      <c r="N91">
        <v>4</v>
      </c>
      <c r="O91">
        <v>0</v>
      </c>
      <c r="P91">
        <v>21</v>
      </c>
      <c r="Q91">
        <v>15</v>
      </c>
      <c r="R91">
        <f>Estadisticas_jugador[[#This Row],[tackles]]+Estadisticas_jugador[[#This Row],[interceptions]]</f>
        <v>36</v>
      </c>
      <c r="S91">
        <v>0</v>
      </c>
    </row>
    <row r="92" spans="1:19" x14ac:dyDescent="0.3">
      <c r="A92" t="s">
        <v>640</v>
      </c>
      <c r="B92" t="s">
        <v>7</v>
      </c>
      <c r="C92">
        <v>26</v>
      </c>
      <c r="D92">
        <v>23</v>
      </c>
      <c r="E92">
        <v>2119</v>
      </c>
      <c r="F92" t="str">
        <f>IF(Estadisticas_jugador[[#This Row],[minutes_played]]&gt;900, "Si", "No")</f>
        <v>Si</v>
      </c>
      <c r="G92">
        <v>0</v>
      </c>
      <c r="H92">
        <v>2</v>
      </c>
      <c r="I92">
        <v>0.99299999999999999</v>
      </c>
      <c r="J92">
        <v>2.0200800999999999</v>
      </c>
      <c r="K92">
        <v>6.84</v>
      </c>
      <c r="L92">
        <v>19</v>
      </c>
      <c r="M92">
        <v>5</v>
      </c>
      <c r="N92">
        <v>2</v>
      </c>
      <c r="O92">
        <v>0</v>
      </c>
      <c r="P92">
        <v>42</v>
      </c>
      <c r="Q92">
        <v>17</v>
      </c>
      <c r="R92">
        <f>Estadisticas_jugador[[#This Row],[tackles]]+Estadisticas_jugador[[#This Row],[interceptions]]</f>
        <v>59</v>
      </c>
      <c r="S92">
        <v>0</v>
      </c>
    </row>
    <row r="93" spans="1:19" x14ac:dyDescent="0.3">
      <c r="A93" t="s">
        <v>641</v>
      </c>
      <c r="B93" t="s">
        <v>7</v>
      </c>
      <c r="C93">
        <v>12</v>
      </c>
      <c r="D93">
        <v>9</v>
      </c>
      <c r="E93">
        <v>842</v>
      </c>
      <c r="F93" t="str">
        <f>IF(Estadisticas_jugador[[#This Row],[minutes_played]]&gt;900, "Si", "No")</f>
        <v>No</v>
      </c>
      <c r="G93">
        <v>0</v>
      </c>
      <c r="H93">
        <v>1</v>
      </c>
      <c r="I93">
        <v>0.1825</v>
      </c>
      <c r="J93">
        <v>0.54271564999999999</v>
      </c>
      <c r="K93">
        <v>7.35</v>
      </c>
      <c r="L93">
        <v>6</v>
      </c>
      <c r="M93">
        <v>2</v>
      </c>
      <c r="N93">
        <v>1</v>
      </c>
      <c r="O93">
        <v>0</v>
      </c>
      <c r="P93">
        <v>13</v>
      </c>
      <c r="Q93">
        <v>17</v>
      </c>
      <c r="R93">
        <f>Estadisticas_jugador[[#This Row],[tackles]]+Estadisticas_jugador[[#This Row],[interceptions]]</f>
        <v>30</v>
      </c>
      <c r="S93">
        <v>0</v>
      </c>
    </row>
    <row r="94" spans="1:19" x14ac:dyDescent="0.3">
      <c r="A94" t="s">
        <v>642</v>
      </c>
      <c r="B94" t="s">
        <v>7</v>
      </c>
      <c r="C94">
        <v>20</v>
      </c>
      <c r="D94">
        <v>16</v>
      </c>
      <c r="E94">
        <v>1325</v>
      </c>
      <c r="F94" t="str">
        <f>IF(Estadisticas_jugador[[#This Row],[minutes_played]]&gt;900, "Si", "No")</f>
        <v>Si</v>
      </c>
      <c r="G94">
        <v>0</v>
      </c>
      <c r="H94">
        <v>3</v>
      </c>
      <c r="I94">
        <v>0.12559999999999999</v>
      </c>
      <c r="J94">
        <v>3.13868583</v>
      </c>
      <c r="K94">
        <v>6.8150000000000004</v>
      </c>
      <c r="L94">
        <v>4</v>
      </c>
      <c r="M94">
        <v>2</v>
      </c>
      <c r="N94">
        <v>4</v>
      </c>
      <c r="O94">
        <v>0</v>
      </c>
      <c r="P94">
        <v>33</v>
      </c>
      <c r="Q94">
        <v>12</v>
      </c>
      <c r="R94">
        <f>Estadisticas_jugador[[#This Row],[tackles]]+Estadisticas_jugador[[#This Row],[interceptions]]</f>
        <v>45</v>
      </c>
      <c r="S94">
        <v>0</v>
      </c>
    </row>
    <row r="95" spans="1:19" x14ac:dyDescent="0.3">
      <c r="A95" t="s">
        <v>643</v>
      </c>
      <c r="B95" t="s">
        <v>7</v>
      </c>
      <c r="C95">
        <v>1</v>
      </c>
      <c r="D95">
        <v>1</v>
      </c>
      <c r="E95">
        <v>90</v>
      </c>
      <c r="F95" t="str">
        <f>IF(Estadisticas_jugador[[#This Row],[minutes_played]]&gt;900, "Si", "No")</f>
        <v>No</v>
      </c>
      <c r="G95">
        <v>0</v>
      </c>
      <c r="H95">
        <v>0</v>
      </c>
      <c r="I95">
        <v>3.1E-2</v>
      </c>
      <c r="J95">
        <v>4.4162199999999999E-2</v>
      </c>
      <c r="K95">
        <v>6.7</v>
      </c>
      <c r="L95">
        <v>1</v>
      </c>
      <c r="M95">
        <v>0</v>
      </c>
      <c r="N95">
        <v>0</v>
      </c>
      <c r="O95">
        <v>0</v>
      </c>
      <c r="P95">
        <v>2</v>
      </c>
      <c r="Q95">
        <v>0</v>
      </c>
      <c r="R95">
        <f>Estadisticas_jugador[[#This Row],[tackles]]+Estadisticas_jugador[[#This Row],[interceptions]]</f>
        <v>2</v>
      </c>
      <c r="S95">
        <v>0</v>
      </c>
    </row>
    <row r="96" spans="1:19" x14ac:dyDescent="0.3">
      <c r="A96" t="s">
        <v>644</v>
      </c>
      <c r="B96" t="s">
        <v>7</v>
      </c>
      <c r="C96">
        <v>26</v>
      </c>
      <c r="D96">
        <v>26</v>
      </c>
      <c r="E96">
        <v>2340</v>
      </c>
      <c r="F96" t="str">
        <f>IF(Estadisticas_jugador[[#This Row],[minutes_played]]&gt;900, "Si", "No")</f>
        <v>Si</v>
      </c>
      <c r="G96">
        <v>0</v>
      </c>
      <c r="H96">
        <v>0</v>
      </c>
      <c r="J96">
        <v>2.3799580000000001E-2</v>
      </c>
      <c r="K96">
        <v>7.0807692307692003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f>Estadisticas_jugador[[#This Row],[tackles]]+Estadisticas_jugador[[#This Row],[interceptions]]</f>
        <v>0</v>
      </c>
      <c r="S96">
        <v>58</v>
      </c>
    </row>
    <row r="97" spans="1:19" x14ac:dyDescent="0.3">
      <c r="A97" t="s">
        <v>645</v>
      </c>
      <c r="B97" t="s">
        <v>7</v>
      </c>
      <c r="C97">
        <v>3</v>
      </c>
      <c r="D97">
        <v>3</v>
      </c>
      <c r="E97">
        <v>270</v>
      </c>
      <c r="F97" t="str">
        <f>IF(Estadisticas_jugador[[#This Row],[minutes_played]]&gt;900, "Si", "No")</f>
        <v>No</v>
      </c>
      <c r="G97">
        <v>0</v>
      </c>
      <c r="H97">
        <v>0</v>
      </c>
      <c r="J97">
        <v>1.6768900000000001E-3</v>
      </c>
      <c r="K97">
        <v>7.1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f>Estadisticas_jugador[[#This Row],[tackles]]+Estadisticas_jugador[[#This Row],[interceptions]]</f>
        <v>0</v>
      </c>
      <c r="S97">
        <v>9</v>
      </c>
    </row>
    <row r="98" spans="1:19" x14ac:dyDescent="0.3">
      <c r="A98" t="s">
        <v>646</v>
      </c>
      <c r="B98" t="s">
        <v>7</v>
      </c>
      <c r="C98">
        <v>15</v>
      </c>
      <c r="D98">
        <v>4</v>
      </c>
      <c r="E98">
        <v>458</v>
      </c>
      <c r="F98" t="str">
        <f>IF(Estadisticas_jugador[[#This Row],[minutes_played]]&gt;900, "Si", "No")</f>
        <v>No</v>
      </c>
      <c r="G98">
        <v>3</v>
      </c>
      <c r="H98">
        <v>0</v>
      </c>
      <c r="I98">
        <v>3.2765</v>
      </c>
      <c r="J98">
        <v>0.23484921</v>
      </c>
      <c r="K98">
        <v>6.66</v>
      </c>
      <c r="L98">
        <v>20</v>
      </c>
      <c r="M98">
        <v>9</v>
      </c>
      <c r="N98">
        <v>0</v>
      </c>
      <c r="O98">
        <v>0</v>
      </c>
      <c r="P98">
        <v>2</v>
      </c>
      <c r="Q98">
        <v>1</v>
      </c>
      <c r="R98">
        <f>Estadisticas_jugador[[#This Row],[tackles]]+Estadisticas_jugador[[#This Row],[interceptions]]</f>
        <v>3</v>
      </c>
      <c r="S98">
        <v>0</v>
      </c>
    </row>
    <row r="99" spans="1:19" x14ac:dyDescent="0.3">
      <c r="A99" t="s">
        <v>647</v>
      </c>
      <c r="B99" t="s">
        <v>7</v>
      </c>
      <c r="C99">
        <v>24</v>
      </c>
      <c r="D99">
        <v>23</v>
      </c>
      <c r="E99">
        <v>1983</v>
      </c>
      <c r="F99" t="str">
        <f>IF(Estadisticas_jugador[[#This Row],[minutes_played]]&gt;900, "Si", "No")</f>
        <v>Si</v>
      </c>
      <c r="G99">
        <v>8</v>
      </c>
      <c r="H99">
        <v>3</v>
      </c>
      <c r="I99">
        <v>8.6424000000000003</v>
      </c>
      <c r="J99">
        <v>1.82439218</v>
      </c>
      <c r="K99">
        <v>6.8250000000000002</v>
      </c>
      <c r="L99">
        <v>69</v>
      </c>
      <c r="M99">
        <v>18</v>
      </c>
      <c r="N99">
        <v>3</v>
      </c>
      <c r="O99">
        <v>0</v>
      </c>
      <c r="P99">
        <v>24</v>
      </c>
      <c r="Q99">
        <v>7</v>
      </c>
      <c r="R99">
        <f>Estadisticas_jugador[[#This Row],[tackles]]+Estadisticas_jugador[[#This Row],[interceptions]]</f>
        <v>31</v>
      </c>
      <c r="S99">
        <v>0</v>
      </c>
    </row>
    <row r="100" spans="1:19" x14ac:dyDescent="0.3">
      <c r="A100" t="s">
        <v>648</v>
      </c>
      <c r="B100" t="s">
        <v>7</v>
      </c>
      <c r="C100">
        <v>12</v>
      </c>
      <c r="D100">
        <v>3</v>
      </c>
      <c r="E100">
        <v>351</v>
      </c>
      <c r="F100" t="str">
        <f>IF(Estadisticas_jugador[[#This Row],[minutes_played]]&gt;900, "Si", "No")</f>
        <v>No</v>
      </c>
      <c r="G100">
        <v>1</v>
      </c>
      <c r="H100">
        <v>0</v>
      </c>
      <c r="I100">
        <v>1.5306</v>
      </c>
      <c r="J100">
        <v>0.59957232000000005</v>
      </c>
      <c r="K100">
        <v>6.62</v>
      </c>
      <c r="L100">
        <v>7</v>
      </c>
      <c r="M100">
        <v>2</v>
      </c>
      <c r="N100">
        <v>4</v>
      </c>
      <c r="O100">
        <v>0</v>
      </c>
      <c r="P100">
        <v>1</v>
      </c>
      <c r="Q100">
        <v>3</v>
      </c>
      <c r="R100">
        <f>Estadisticas_jugador[[#This Row],[tackles]]+Estadisticas_jugador[[#This Row],[interceptions]]</f>
        <v>4</v>
      </c>
      <c r="S100">
        <v>0</v>
      </c>
    </row>
    <row r="101" spans="1:19" x14ac:dyDescent="0.3">
      <c r="A101" t="s">
        <v>649</v>
      </c>
      <c r="B101" t="s">
        <v>7</v>
      </c>
      <c r="C101">
        <v>24</v>
      </c>
      <c r="D101">
        <v>22</v>
      </c>
      <c r="E101">
        <v>1872</v>
      </c>
      <c r="F101" t="str">
        <f>IF(Estadisticas_jugador[[#This Row],[minutes_played]]&gt;900, "Si", "No")</f>
        <v>Si</v>
      </c>
      <c r="G101">
        <v>7</v>
      </c>
      <c r="H101">
        <v>5</v>
      </c>
      <c r="I101">
        <v>6.3890000000000002</v>
      </c>
      <c r="J101">
        <v>4.4682497999999997</v>
      </c>
      <c r="K101">
        <v>7.2125000000000004</v>
      </c>
      <c r="L101">
        <v>65</v>
      </c>
      <c r="M101">
        <v>27</v>
      </c>
      <c r="N101">
        <v>4</v>
      </c>
      <c r="O101">
        <v>1</v>
      </c>
      <c r="P101">
        <v>27</v>
      </c>
      <c r="Q101">
        <v>19</v>
      </c>
      <c r="R101">
        <f>Estadisticas_jugador[[#This Row],[tackles]]+Estadisticas_jugador[[#This Row],[interceptions]]</f>
        <v>46</v>
      </c>
      <c r="S101">
        <v>0</v>
      </c>
    </row>
    <row r="102" spans="1:19" x14ac:dyDescent="0.3">
      <c r="A102" t="s">
        <v>650</v>
      </c>
      <c r="B102" t="s">
        <v>7</v>
      </c>
      <c r="C102">
        <v>20</v>
      </c>
      <c r="D102">
        <v>18</v>
      </c>
      <c r="E102">
        <v>1541</v>
      </c>
      <c r="F102" t="str">
        <f>IF(Estadisticas_jugador[[#This Row],[minutes_played]]&gt;900, "Si", "No")</f>
        <v>Si</v>
      </c>
      <c r="G102">
        <v>5</v>
      </c>
      <c r="H102">
        <v>5</v>
      </c>
      <c r="I102">
        <v>6.4233000000000002</v>
      </c>
      <c r="J102">
        <v>2.4172566600000001</v>
      </c>
      <c r="K102">
        <v>7.1550000000000002</v>
      </c>
      <c r="L102">
        <v>56</v>
      </c>
      <c r="M102">
        <v>16</v>
      </c>
      <c r="N102">
        <v>3</v>
      </c>
      <c r="O102">
        <v>0</v>
      </c>
      <c r="P102">
        <v>35</v>
      </c>
      <c r="Q102">
        <v>11</v>
      </c>
      <c r="R102">
        <f>Estadisticas_jugador[[#This Row],[tackles]]+Estadisticas_jugador[[#This Row],[interceptions]]</f>
        <v>46</v>
      </c>
      <c r="S102">
        <v>0</v>
      </c>
    </row>
    <row r="103" spans="1:19" x14ac:dyDescent="0.3">
      <c r="A103" t="s">
        <v>651</v>
      </c>
      <c r="B103" t="s">
        <v>7</v>
      </c>
      <c r="C103">
        <v>9</v>
      </c>
      <c r="D103">
        <v>7</v>
      </c>
      <c r="E103">
        <v>692</v>
      </c>
      <c r="F103" t="str">
        <f>IF(Estadisticas_jugador[[#This Row],[minutes_played]]&gt;900, "Si", "No")</f>
        <v>No</v>
      </c>
      <c r="G103">
        <v>0</v>
      </c>
      <c r="H103">
        <v>0</v>
      </c>
      <c r="I103">
        <v>0.1391</v>
      </c>
      <c r="J103">
        <v>0.21178553999999999</v>
      </c>
      <c r="K103">
        <v>7.0333333333333004</v>
      </c>
      <c r="L103">
        <v>4</v>
      </c>
      <c r="M103">
        <v>1</v>
      </c>
      <c r="N103">
        <v>3</v>
      </c>
      <c r="O103">
        <v>0</v>
      </c>
      <c r="P103">
        <v>12</v>
      </c>
      <c r="Q103">
        <v>6</v>
      </c>
      <c r="R103">
        <f>Estadisticas_jugador[[#This Row],[tackles]]+Estadisticas_jugador[[#This Row],[interceptions]]</f>
        <v>18</v>
      </c>
      <c r="S103">
        <v>0</v>
      </c>
    </row>
    <row r="104" spans="1:19" x14ac:dyDescent="0.3">
      <c r="A104" t="s">
        <v>652</v>
      </c>
      <c r="B104" t="s">
        <v>7</v>
      </c>
      <c r="C104">
        <v>1</v>
      </c>
      <c r="D104">
        <v>0</v>
      </c>
      <c r="E104">
        <v>30</v>
      </c>
      <c r="F104" t="str">
        <f>IF(Estadisticas_jugador[[#This Row],[minutes_played]]&gt;900, "Si", "No")</f>
        <v>No</v>
      </c>
      <c r="G104">
        <v>0</v>
      </c>
      <c r="H104">
        <v>1</v>
      </c>
      <c r="I104">
        <v>8.2000000000000003E-2</v>
      </c>
      <c r="J104">
        <v>0.17927399999999999</v>
      </c>
      <c r="K104">
        <v>7.1</v>
      </c>
      <c r="L104">
        <v>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f>Estadisticas_jugador[[#This Row],[tackles]]+Estadisticas_jugador[[#This Row],[interceptions]]</f>
        <v>0</v>
      </c>
      <c r="S104">
        <v>0</v>
      </c>
    </row>
    <row r="105" spans="1:19" x14ac:dyDescent="0.3">
      <c r="A105" t="s">
        <v>653</v>
      </c>
      <c r="B105" t="s">
        <v>7</v>
      </c>
      <c r="C105">
        <v>17</v>
      </c>
      <c r="D105">
        <v>11</v>
      </c>
      <c r="E105">
        <v>1098</v>
      </c>
      <c r="F105" t="str">
        <f>IF(Estadisticas_jugador[[#This Row],[minutes_played]]&gt;900, "Si", "No")</f>
        <v>Si</v>
      </c>
      <c r="G105">
        <v>2</v>
      </c>
      <c r="H105">
        <v>2</v>
      </c>
      <c r="I105">
        <v>2.4049</v>
      </c>
      <c r="J105">
        <v>2.0385768999999998</v>
      </c>
      <c r="K105">
        <v>7.0647058823529001</v>
      </c>
      <c r="L105">
        <v>27</v>
      </c>
      <c r="M105">
        <v>10</v>
      </c>
      <c r="N105">
        <v>3</v>
      </c>
      <c r="O105">
        <v>0</v>
      </c>
      <c r="P105">
        <v>14</v>
      </c>
      <c r="Q105">
        <v>5</v>
      </c>
      <c r="R105">
        <f>Estadisticas_jugador[[#This Row],[tackles]]+Estadisticas_jugador[[#This Row],[interceptions]]</f>
        <v>19</v>
      </c>
      <c r="S105">
        <v>0</v>
      </c>
    </row>
    <row r="106" spans="1:19" x14ac:dyDescent="0.3">
      <c r="A106" t="s">
        <v>654</v>
      </c>
      <c r="B106" t="s">
        <v>7</v>
      </c>
      <c r="C106">
        <v>16</v>
      </c>
      <c r="D106">
        <v>7</v>
      </c>
      <c r="E106">
        <v>598</v>
      </c>
      <c r="F106" t="str">
        <f>IF(Estadisticas_jugador[[#This Row],[minutes_played]]&gt;900, "Si", "No")</f>
        <v>No</v>
      </c>
      <c r="G106">
        <v>0</v>
      </c>
      <c r="H106">
        <v>0</v>
      </c>
      <c r="I106">
        <v>0.42899999999999999</v>
      </c>
      <c r="J106">
        <v>0.27669587000000001</v>
      </c>
      <c r="K106">
        <v>6.8333333333333002</v>
      </c>
      <c r="L106">
        <v>16</v>
      </c>
      <c r="M106">
        <v>0</v>
      </c>
      <c r="N106">
        <v>3</v>
      </c>
      <c r="O106">
        <v>0</v>
      </c>
      <c r="P106">
        <v>13</v>
      </c>
      <c r="Q106">
        <v>4</v>
      </c>
      <c r="R106">
        <f>Estadisticas_jugador[[#This Row],[tackles]]+Estadisticas_jugador[[#This Row],[interceptions]]</f>
        <v>17</v>
      </c>
      <c r="S106">
        <v>0</v>
      </c>
    </row>
    <row r="107" spans="1:19" x14ac:dyDescent="0.3">
      <c r="A107" t="s">
        <v>655</v>
      </c>
      <c r="B107" t="s">
        <v>7</v>
      </c>
      <c r="C107">
        <v>19</v>
      </c>
      <c r="D107">
        <v>7</v>
      </c>
      <c r="E107">
        <v>663</v>
      </c>
      <c r="F107" t="str">
        <f>IF(Estadisticas_jugador[[#This Row],[minutes_played]]&gt;900, "Si", "No")</f>
        <v>No</v>
      </c>
      <c r="G107">
        <v>0</v>
      </c>
      <c r="H107">
        <v>1</v>
      </c>
      <c r="I107">
        <v>1.8727</v>
      </c>
      <c r="J107">
        <v>1.1561157200000001</v>
      </c>
      <c r="K107">
        <v>6.5684210526316003</v>
      </c>
      <c r="L107">
        <v>19</v>
      </c>
      <c r="M107">
        <v>5</v>
      </c>
      <c r="N107">
        <v>1</v>
      </c>
      <c r="O107">
        <v>0</v>
      </c>
      <c r="P107">
        <v>11</v>
      </c>
      <c r="Q107">
        <v>3</v>
      </c>
      <c r="R107">
        <f>Estadisticas_jugador[[#This Row],[tackles]]+Estadisticas_jugador[[#This Row],[interceptions]]</f>
        <v>14</v>
      </c>
      <c r="S107">
        <v>0</v>
      </c>
    </row>
    <row r="108" spans="1:19" x14ac:dyDescent="0.3">
      <c r="A108" t="s">
        <v>656</v>
      </c>
      <c r="B108" t="s">
        <v>7</v>
      </c>
      <c r="C108">
        <v>6</v>
      </c>
      <c r="D108">
        <v>6</v>
      </c>
      <c r="E108">
        <v>447</v>
      </c>
      <c r="F108" t="str">
        <f>IF(Estadisticas_jugador[[#This Row],[minutes_played]]&gt;900, "Si", "No")</f>
        <v>No</v>
      </c>
      <c r="G108">
        <v>1</v>
      </c>
      <c r="H108">
        <v>0</v>
      </c>
      <c r="I108">
        <v>0.4733</v>
      </c>
      <c r="J108">
        <v>0.12999577000000001</v>
      </c>
      <c r="K108">
        <v>6.8666666666667</v>
      </c>
      <c r="L108">
        <v>3</v>
      </c>
      <c r="M108">
        <v>2</v>
      </c>
      <c r="N108">
        <v>0</v>
      </c>
      <c r="O108">
        <v>0</v>
      </c>
      <c r="P108">
        <v>10</v>
      </c>
      <c r="Q108">
        <v>2</v>
      </c>
      <c r="R108">
        <f>Estadisticas_jugador[[#This Row],[tackles]]+Estadisticas_jugador[[#This Row],[interceptions]]</f>
        <v>12</v>
      </c>
      <c r="S108">
        <v>0</v>
      </c>
    </row>
    <row r="109" spans="1:19" x14ac:dyDescent="0.3">
      <c r="A109" t="s">
        <v>657</v>
      </c>
      <c r="B109" t="s">
        <v>7</v>
      </c>
      <c r="C109">
        <v>29</v>
      </c>
      <c r="D109">
        <v>26</v>
      </c>
      <c r="E109">
        <v>2263</v>
      </c>
      <c r="F109" t="str">
        <f>IF(Estadisticas_jugador[[#This Row],[minutes_played]]&gt;900, "Si", "No")</f>
        <v>Si</v>
      </c>
      <c r="G109">
        <v>7</v>
      </c>
      <c r="H109">
        <v>4</v>
      </c>
      <c r="I109">
        <v>3.3464</v>
      </c>
      <c r="J109">
        <v>4.8819635999999997</v>
      </c>
      <c r="K109">
        <v>7.1241379310345003</v>
      </c>
      <c r="L109">
        <v>36</v>
      </c>
      <c r="M109">
        <v>16</v>
      </c>
      <c r="N109">
        <v>2</v>
      </c>
      <c r="O109">
        <v>0</v>
      </c>
      <c r="P109">
        <v>33</v>
      </c>
      <c r="Q109">
        <v>28</v>
      </c>
      <c r="R109">
        <f>Estadisticas_jugador[[#This Row],[tackles]]+Estadisticas_jugador[[#This Row],[interceptions]]</f>
        <v>61</v>
      </c>
      <c r="S109">
        <v>0</v>
      </c>
    </row>
    <row r="110" spans="1:19" x14ac:dyDescent="0.3">
      <c r="A110" t="s">
        <v>658</v>
      </c>
      <c r="B110" t="s">
        <v>7</v>
      </c>
      <c r="C110">
        <v>14</v>
      </c>
      <c r="D110">
        <v>2</v>
      </c>
      <c r="E110">
        <v>373</v>
      </c>
      <c r="F110" t="str">
        <f>IF(Estadisticas_jugador[[#This Row],[minutes_played]]&gt;900, "Si", "No")</f>
        <v>No</v>
      </c>
      <c r="G110">
        <v>0</v>
      </c>
      <c r="H110">
        <v>0</v>
      </c>
      <c r="I110">
        <v>1.1412</v>
      </c>
      <c r="J110">
        <v>0.11968726</v>
      </c>
      <c r="K110">
        <v>6.5</v>
      </c>
      <c r="L110">
        <v>11</v>
      </c>
      <c r="M110">
        <v>4</v>
      </c>
      <c r="N110">
        <v>1</v>
      </c>
      <c r="O110">
        <v>0</v>
      </c>
      <c r="P110">
        <v>10</v>
      </c>
      <c r="Q110">
        <v>4</v>
      </c>
      <c r="R110">
        <f>Estadisticas_jugador[[#This Row],[tackles]]+Estadisticas_jugador[[#This Row],[interceptions]]</f>
        <v>14</v>
      </c>
      <c r="S110">
        <v>0</v>
      </c>
    </row>
    <row r="111" spans="1:19" x14ac:dyDescent="0.3">
      <c r="A111" t="s">
        <v>659</v>
      </c>
      <c r="B111" t="s">
        <v>7</v>
      </c>
      <c r="C111">
        <v>23</v>
      </c>
      <c r="D111">
        <v>20</v>
      </c>
      <c r="E111">
        <v>1672</v>
      </c>
      <c r="F111" t="str">
        <f>IF(Estadisticas_jugador[[#This Row],[minutes_played]]&gt;900, "Si", "No")</f>
        <v>Si</v>
      </c>
      <c r="G111">
        <v>0</v>
      </c>
      <c r="H111">
        <v>1</v>
      </c>
      <c r="I111">
        <v>1.1407</v>
      </c>
      <c r="J111">
        <v>1.0282887000000001</v>
      </c>
      <c r="K111">
        <v>6.8217391304347998</v>
      </c>
      <c r="L111">
        <v>12</v>
      </c>
      <c r="M111">
        <v>4</v>
      </c>
      <c r="N111">
        <v>1</v>
      </c>
      <c r="O111">
        <v>0</v>
      </c>
      <c r="P111">
        <v>33</v>
      </c>
      <c r="Q111">
        <v>18</v>
      </c>
      <c r="R111">
        <f>Estadisticas_jugador[[#This Row],[tackles]]+Estadisticas_jugador[[#This Row],[interceptions]]</f>
        <v>51</v>
      </c>
      <c r="S111">
        <v>0</v>
      </c>
    </row>
    <row r="112" spans="1:19" x14ac:dyDescent="0.3">
      <c r="A112" t="s">
        <v>660</v>
      </c>
      <c r="B112" t="s">
        <v>7</v>
      </c>
      <c r="C112">
        <v>20</v>
      </c>
      <c r="D112">
        <v>10</v>
      </c>
      <c r="E112">
        <v>964</v>
      </c>
      <c r="F112" t="str">
        <f>IF(Estadisticas_jugador[[#This Row],[minutes_played]]&gt;900, "Si", "No")</f>
        <v>Si</v>
      </c>
      <c r="G112">
        <v>1</v>
      </c>
      <c r="H112">
        <v>1</v>
      </c>
      <c r="I112">
        <v>0.24959999999999999</v>
      </c>
      <c r="J112">
        <v>0.71439715999999998</v>
      </c>
      <c r="K112">
        <v>6.9749999999999996</v>
      </c>
      <c r="L112">
        <v>4</v>
      </c>
      <c r="M112">
        <v>1</v>
      </c>
      <c r="N112">
        <v>2</v>
      </c>
      <c r="O112">
        <v>0</v>
      </c>
      <c r="P112">
        <v>39</v>
      </c>
      <c r="Q112">
        <v>17</v>
      </c>
      <c r="R112">
        <f>Estadisticas_jugador[[#This Row],[tackles]]+Estadisticas_jugador[[#This Row],[interceptions]]</f>
        <v>56</v>
      </c>
      <c r="S112">
        <v>0</v>
      </c>
    </row>
    <row r="113" spans="1:19" x14ac:dyDescent="0.3">
      <c r="A113" t="s">
        <v>661</v>
      </c>
      <c r="B113" t="s">
        <v>7</v>
      </c>
      <c r="C113">
        <v>18</v>
      </c>
      <c r="D113">
        <v>13</v>
      </c>
      <c r="E113">
        <v>1235</v>
      </c>
      <c r="F113" t="str">
        <f>IF(Estadisticas_jugador[[#This Row],[minutes_played]]&gt;900, "Si", "No")</f>
        <v>Si</v>
      </c>
      <c r="G113">
        <v>1</v>
      </c>
      <c r="H113">
        <v>2</v>
      </c>
      <c r="I113">
        <v>0.28439999999999999</v>
      </c>
      <c r="J113">
        <v>1.8862565</v>
      </c>
      <c r="K113">
        <v>6.6833333333332998</v>
      </c>
      <c r="L113">
        <v>4</v>
      </c>
      <c r="M113">
        <v>4</v>
      </c>
      <c r="N113">
        <v>1</v>
      </c>
      <c r="O113">
        <v>0</v>
      </c>
      <c r="P113">
        <v>17</v>
      </c>
      <c r="Q113">
        <v>8</v>
      </c>
      <c r="R113">
        <f>Estadisticas_jugador[[#This Row],[tackles]]+Estadisticas_jugador[[#This Row],[interceptions]]</f>
        <v>25</v>
      </c>
      <c r="S113">
        <v>0</v>
      </c>
    </row>
    <row r="114" spans="1:19" x14ac:dyDescent="0.3">
      <c r="A114" t="s">
        <v>662</v>
      </c>
      <c r="B114" t="s">
        <v>7</v>
      </c>
      <c r="C114">
        <v>26</v>
      </c>
      <c r="D114">
        <v>26</v>
      </c>
      <c r="E114">
        <v>2257</v>
      </c>
      <c r="F114" t="str">
        <f>IF(Estadisticas_jugador[[#This Row],[minutes_played]]&gt;900, "Si", "No")</f>
        <v>Si</v>
      </c>
      <c r="G114">
        <v>0</v>
      </c>
      <c r="H114">
        <v>0</v>
      </c>
      <c r="I114">
        <v>0.30709999999999998</v>
      </c>
      <c r="J114">
        <v>0.11372454999999999</v>
      </c>
      <c r="K114">
        <v>6.6653846153845997</v>
      </c>
      <c r="L114">
        <v>8</v>
      </c>
      <c r="M114">
        <v>1</v>
      </c>
      <c r="N114">
        <v>7</v>
      </c>
      <c r="O114">
        <v>0</v>
      </c>
      <c r="P114">
        <v>29</v>
      </c>
      <c r="Q114">
        <v>31</v>
      </c>
      <c r="R114">
        <f>Estadisticas_jugador[[#This Row],[tackles]]+Estadisticas_jugador[[#This Row],[interceptions]]</f>
        <v>60</v>
      </c>
      <c r="S114">
        <v>0</v>
      </c>
    </row>
    <row r="115" spans="1:19" x14ac:dyDescent="0.3">
      <c r="A115" t="s">
        <v>663</v>
      </c>
      <c r="B115" t="s">
        <v>7</v>
      </c>
      <c r="C115">
        <v>10</v>
      </c>
      <c r="D115">
        <v>8</v>
      </c>
      <c r="E115">
        <v>676</v>
      </c>
      <c r="F115" t="str">
        <f>IF(Estadisticas_jugador[[#This Row],[minutes_played]]&gt;900, "Si", "No")</f>
        <v>No</v>
      </c>
      <c r="G115">
        <v>0</v>
      </c>
      <c r="H115">
        <v>1</v>
      </c>
      <c r="I115">
        <v>0.46039999999999998</v>
      </c>
      <c r="J115">
        <v>0.67986734999999998</v>
      </c>
      <c r="K115">
        <v>6.56</v>
      </c>
      <c r="L115">
        <v>5</v>
      </c>
      <c r="M115">
        <v>0</v>
      </c>
      <c r="N115">
        <v>2</v>
      </c>
      <c r="O115">
        <v>0</v>
      </c>
      <c r="P115">
        <v>21</v>
      </c>
      <c r="Q115">
        <v>8</v>
      </c>
      <c r="R115">
        <f>Estadisticas_jugador[[#This Row],[tackles]]+Estadisticas_jugador[[#This Row],[interceptions]]</f>
        <v>29</v>
      </c>
      <c r="S115">
        <v>0</v>
      </c>
    </row>
    <row r="116" spans="1:19" x14ac:dyDescent="0.3">
      <c r="A116" t="s">
        <v>664</v>
      </c>
      <c r="B116" t="s">
        <v>7</v>
      </c>
      <c r="C116">
        <v>21</v>
      </c>
      <c r="D116">
        <v>13</v>
      </c>
      <c r="E116">
        <v>1330</v>
      </c>
      <c r="F116" t="str">
        <f>IF(Estadisticas_jugador[[#This Row],[minutes_played]]&gt;900, "Si", "No")</f>
        <v>Si</v>
      </c>
      <c r="G116">
        <v>1</v>
      </c>
      <c r="H116">
        <v>0</v>
      </c>
      <c r="I116">
        <v>0.67830000000000001</v>
      </c>
      <c r="J116">
        <v>0.62089846999999998</v>
      </c>
      <c r="K116">
        <v>6.8250000000000002</v>
      </c>
      <c r="L116">
        <v>9</v>
      </c>
      <c r="M116">
        <v>3</v>
      </c>
      <c r="N116">
        <v>5</v>
      </c>
      <c r="O116">
        <v>0</v>
      </c>
      <c r="P116">
        <v>39</v>
      </c>
      <c r="Q116">
        <v>20</v>
      </c>
      <c r="R116">
        <f>Estadisticas_jugador[[#This Row],[tackles]]+Estadisticas_jugador[[#This Row],[interceptions]]</f>
        <v>59</v>
      </c>
      <c r="S116">
        <v>0</v>
      </c>
    </row>
    <row r="117" spans="1:19" x14ac:dyDescent="0.3">
      <c r="A117" t="s">
        <v>665</v>
      </c>
      <c r="B117" t="s">
        <v>7</v>
      </c>
      <c r="C117">
        <v>22</v>
      </c>
      <c r="D117">
        <v>18</v>
      </c>
      <c r="E117">
        <v>1772</v>
      </c>
      <c r="F117" t="str">
        <f>IF(Estadisticas_jugador[[#This Row],[minutes_played]]&gt;900, "Si", "No")</f>
        <v>Si</v>
      </c>
      <c r="G117">
        <v>1</v>
      </c>
      <c r="H117">
        <v>0</v>
      </c>
      <c r="I117">
        <v>0.54600000000000004</v>
      </c>
      <c r="J117">
        <v>0.41278939999999997</v>
      </c>
      <c r="K117">
        <v>6.9818181818182001</v>
      </c>
      <c r="L117">
        <v>14</v>
      </c>
      <c r="M117">
        <v>5</v>
      </c>
      <c r="N117">
        <v>3</v>
      </c>
      <c r="O117">
        <v>0</v>
      </c>
      <c r="P117">
        <v>41</v>
      </c>
      <c r="Q117">
        <v>25</v>
      </c>
      <c r="R117">
        <f>Estadisticas_jugador[[#This Row],[tackles]]+Estadisticas_jugador[[#This Row],[interceptions]]</f>
        <v>66</v>
      </c>
      <c r="S117">
        <v>0</v>
      </c>
    </row>
    <row r="118" spans="1:19" x14ac:dyDescent="0.3">
      <c r="A118" t="s">
        <v>666</v>
      </c>
      <c r="B118" t="s">
        <v>7</v>
      </c>
      <c r="C118">
        <v>18</v>
      </c>
      <c r="D118">
        <v>14</v>
      </c>
      <c r="E118">
        <v>1212</v>
      </c>
      <c r="F118" t="str">
        <f>IF(Estadisticas_jugador[[#This Row],[minutes_played]]&gt;900, "Si", "No")</f>
        <v>Si</v>
      </c>
      <c r="G118">
        <v>0</v>
      </c>
      <c r="H118">
        <v>1</v>
      </c>
      <c r="I118">
        <v>9.9099999999999994E-2</v>
      </c>
      <c r="J118">
        <v>0.29653230000000003</v>
      </c>
      <c r="K118">
        <v>6.6235294117647001</v>
      </c>
      <c r="L118">
        <v>2</v>
      </c>
      <c r="M118">
        <v>0</v>
      </c>
      <c r="N118">
        <v>0</v>
      </c>
      <c r="O118">
        <v>0</v>
      </c>
      <c r="P118">
        <v>14</v>
      </c>
      <c r="Q118">
        <v>6</v>
      </c>
      <c r="R118">
        <f>Estadisticas_jugador[[#This Row],[tackles]]+Estadisticas_jugador[[#This Row],[interceptions]]</f>
        <v>20</v>
      </c>
      <c r="S118">
        <v>0</v>
      </c>
    </row>
    <row r="119" spans="1:19" x14ac:dyDescent="0.3">
      <c r="A119" t="s">
        <v>667</v>
      </c>
      <c r="B119" t="s">
        <v>7</v>
      </c>
      <c r="C119">
        <v>11</v>
      </c>
      <c r="D119">
        <v>8</v>
      </c>
      <c r="E119">
        <v>628</v>
      </c>
      <c r="F119" t="str">
        <f>IF(Estadisticas_jugador[[#This Row],[minutes_played]]&gt;900, "Si", "No")</f>
        <v>No</v>
      </c>
      <c r="G119">
        <v>1</v>
      </c>
      <c r="H119">
        <v>0</v>
      </c>
      <c r="I119">
        <v>0.76439999999999997</v>
      </c>
      <c r="J119">
        <v>3.1789360000000003E-2</v>
      </c>
      <c r="K119">
        <v>6.99</v>
      </c>
      <c r="L119">
        <v>2</v>
      </c>
      <c r="M119">
        <v>1</v>
      </c>
      <c r="N119">
        <v>3</v>
      </c>
      <c r="O119">
        <v>0</v>
      </c>
      <c r="P119">
        <v>13</v>
      </c>
      <c r="Q119">
        <v>14</v>
      </c>
      <c r="R119">
        <f>Estadisticas_jugador[[#This Row],[tackles]]+Estadisticas_jugador[[#This Row],[interceptions]]</f>
        <v>27</v>
      </c>
      <c r="S119">
        <v>0</v>
      </c>
    </row>
    <row r="120" spans="1:19" x14ac:dyDescent="0.3">
      <c r="A120" t="s">
        <v>668</v>
      </c>
      <c r="B120" t="s">
        <v>7</v>
      </c>
      <c r="C120">
        <v>23</v>
      </c>
      <c r="D120">
        <v>17</v>
      </c>
      <c r="E120">
        <v>1514</v>
      </c>
      <c r="F120" t="str">
        <f>IF(Estadisticas_jugador[[#This Row],[minutes_played]]&gt;900, "Si", "No")</f>
        <v>Si</v>
      </c>
      <c r="G120">
        <v>4</v>
      </c>
      <c r="H120">
        <v>2</v>
      </c>
      <c r="I120">
        <v>3.1617000000000002</v>
      </c>
      <c r="J120">
        <v>1.4947458300000001</v>
      </c>
      <c r="K120">
        <v>6.8956521739129997</v>
      </c>
      <c r="L120">
        <v>26</v>
      </c>
      <c r="M120">
        <v>10</v>
      </c>
      <c r="N120">
        <v>3</v>
      </c>
      <c r="O120">
        <v>0</v>
      </c>
      <c r="P120">
        <v>33</v>
      </c>
      <c r="Q120">
        <v>17</v>
      </c>
      <c r="R120">
        <f>Estadisticas_jugador[[#This Row],[tackles]]+Estadisticas_jugador[[#This Row],[interceptions]]</f>
        <v>50</v>
      </c>
      <c r="S120">
        <v>0</v>
      </c>
    </row>
    <row r="121" spans="1:19" x14ac:dyDescent="0.3">
      <c r="A121" t="s">
        <v>669</v>
      </c>
      <c r="B121" t="s">
        <v>7</v>
      </c>
      <c r="C121">
        <v>13</v>
      </c>
      <c r="D121">
        <v>7</v>
      </c>
      <c r="E121">
        <v>582</v>
      </c>
      <c r="F121" t="str">
        <f>IF(Estadisticas_jugador[[#This Row],[minutes_played]]&gt;900, "Si", "No")</f>
        <v>No</v>
      </c>
      <c r="G121">
        <v>0</v>
      </c>
      <c r="H121">
        <v>0</v>
      </c>
      <c r="I121">
        <v>3.5099999999999999E-2</v>
      </c>
      <c r="J121">
        <v>0.81075903000000005</v>
      </c>
      <c r="K121">
        <v>6.7363636363635999</v>
      </c>
      <c r="L121">
        <v>1</v>
      </c>
      <c r="M121">
        <v>0</v>
      </c>
      <c r="N121">
        <v>1</v>
      </c>
      <c r="O121">
        <v>0</v>
      </c>
      <c r="P121">
        <v>27</v>
      </c>
      <c r="Q121">
        <v>3</v>
      </c>
      <c r="R121">
        <f>Estadisticas_jugador[[#This Row],[tackles]]+Estadisticas_jugador[[#This Row],[interceptions]]</f>
        <v>30</v>
      </c>
      <c r="S121">
        <v>0</v>
      </c>
    </row>
    <row r="122" spans="1:19" x14ac:dyDescent="0.3">
      <c r="A122" t="s">
        <v>670</v>
      </c>
      <c r="B122" t="s">
        <v>7</v>
      </c>
      <c r="C122">
        <v>9</v>
      </c>
      <c r="D122">
        <v>9</v>
      </c>
      <c r="E122">
        <v>810</v>
      </c>
      <c r="F122" t="str">
        <f>IF(Estadisticas_jugador[[#This Row],[minutes_played]]&gt;900, "Si", "No")</f>
        <v>No</v>
      </c>
      <c r="G122">
        <v>0</v>
      </c>
      <c r="H122">
        <v>0</v>
      </c>
      <c r="J122">
        <v>6.97374E-3</v>
      </c>
      <c r="K122">
        <v>7.0777777777777997</v>
      </c>
      <c r="L122">
        <v>0</v>
      </c>
      <c r="M122">
        <v>0</v>
      </c>
      <c r="N122">
        <v>1</v>
      </c>
      <c r="O122">
        <v>0</v>
      </c>
      <c r="P122">
        <v>1</v>
      </c>
      <c r="Q122">
        <v>0</v>
      </c>
      <c r="R122">
        <f>Estadisticas_jugador[[#This Row],[tackles]]+Estadisticas_jugador[[#This Row],[interceptions]]</f>
        <v>1</v>
      </c>
      <c r="S122">
        <v>30</v>
      </c>
    </row>
    <row r="123" spans="1:19" x14ac:dyDescent="0.3">
      <c r="A123" t="s">
        <v>671</v>
      </c>
      <c r="B123" t="s">
        <v>7</v>
      </c>
      <c r="C123">
        <v>20</v>
      </c>
      <c r="D123">
        <v>20</v>
      </c>
      <c r="E123">
        <v>1800</v>
      </c>
      <c r="F123" t="str">
        <f>IF(Estadisticas_jugador[[#This Row],[minutes_played]]&gt;900, "Si", "No")</f>
        <v>Si</v>
      </c>
      <c r="G123">
        <v>0</v>
      </c>
      <c r="H123">
        <v>0</v>
      </c>
      <c r="J123">
        <v>2.4808569999999999E-2</v>
      </c>
      <c r="K123">
        <v>6.89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f>Estadisticas_jugador[[#This Row],[tackles]]+Estadisticas_jugador[[#This Row],[interceptions]]</f>
        <v>0</v>
      </c>
      <c r="S123">
        <v>61</v>
      </c>
    </row>
    <row r="124" spans="1:19" x14ac:dyDescent="0.3">
      <c r="A124" t="s">
        <v>672</v>
      </c>
      <c r="B124" t="s">
        <v>7</v>
      </c>
      <c r="C124">
        <v>24</v>
      </c>
      <c r="D124">
        <v>8</v>
      </c>
      <c r="E124">
        <v>839</v>
      </c>
      <c r="F124" t="str">
        <f>IF(Estadisticas_jugador[[#This Row],[minutes_played]]&gt;900, "Si", "No")</f>
        <v>No</v>
      </c>
      <c r="G124">
        <v>4</v>
      </c>
      <c r="H124">
        <v>3</v>
      </c>
      <c r="I124">
        <v>4.1765999999999996</v>
      </c>
      <c r="J124">
        <v>3.1637060899999998</v>
      </c>
      <c r="K124">
        <v>6.8869565217391004</v>
      </c>
      <c r="L124">
        <v>24</v>
      </c>
      <c r="M124">
        <v>11</v>
      </c>
      <c r="N124">
        <v>3</v>
      </c>
      <c r="O124">
        <v>0</v>
      </c>
      <c r="P124">
        <v>11</v>
      </c>
      <c r="Q124">
        <v>10</v>
      </c>
      <c r="R124">
        <f>Estadisticas_jugador[[#This Row],[tackles]]+Estadisticas_jugador[[#This Row],[interceptions]]</f>
        <v>21</v>
      </c>
      <c r="S124">
        <v>0</v>
      </c>
    </row>
    <row r="125" spans="1:19" x14ac:dyDescent="0.3">
      <c r="A125" t="s">
        <v>673</v>
      </c>
      <c r="B125" t="s">
        <v>7</v>
      </c>
      <c r="C125">
        <v>26</v>
      </c>
      <c r="D125">
        <v>17</v>
      </c>
      <c r="E125">
        <v>1508</v>
      </c>
      <c r="F125" t="str">
        <f>IF(Estadisticas_jugador[[#This Row],[minutes_played]]&gt;900, "Si", "No")</f>
        <v>Si</v>
      </c>
      <c r="G125">
        <v>11</v>
      </c>
      <c r="H125">
        <v>2</v>
      </c>
      <c r="I125">
        <v>8.9517000000000007</v>
      </c>
      <c r="J125">
        <v>1.4610228199999999</v>
      </c>
      <c r="K125">
        <v>6.7615384615384997</v>
      </c>
      <c r="L125">
        <v>41</v>
      </c>
      <c r="M125">
        <v>22</v>
      </c>
      <c r="N125">
        <v>6</v>
      </c>
      <c r="O125">
        <v>0</v>
      </c>
      <c r="P125">
        <v>6</v>
      </c>
      <c r="Q125">
        <v>0</v>
      </c>
      <c r="R125">
        <f>Estadisticas_jugador[[#This Row],[tackles]]+Estadisticas_jugador[[#This Row],[interceptions]]</f>
        <v>6</v>
      </c>
      <c r="S125">
        <v>0</v>
      </c>
    </row>
    <row r="126" spans="1:19" x14ac:dyDescent="0.3">
      <c r="A126" t="s">
        <v>674</v>
      </c>
      <c r="B126" t="s">
        <v>7</v>
      </c>
      <c r="C126">
        <v>21</v>
      </c>
      <c r="D126">
        <v>16</v>
      </c>
      <c r="E126">
        <v>1190</v>
      </c>
      <c r="F126" t="str">
        <f>IF(Estadisticas_jugador[[#This Row],[minutes_played]]&gt;900, "Si", "No")</f>
        <v>Si</v>
      </c>
      <c r="G126">
        <v>7</v>
      </c>
      <c r="H126">
        <v>2</v>
      </c>
      <c r="I126">
        <v>4.5605000000000002</v>
      </c>
      <c r="J126">
        <v>0.97309350999999999</v>
      </c>
      <c r="K126">
        <v>6.9761904761905003</v>
      </c>
      <c r="L126">
        <v>34</v>
      </c>
      <c r="M126">
        <v>20</v>
      </c>
      <c r="N126">
        <v>4</v>
      </c>
      <c r="O126">
        <v>0</v>
      </c>
      <c r="P126">
        <v>8</v>
      </c>
      <c r="Q126">
        <v>6</v>
      </c>
      <c r="R126">
        <f>Estadisticas_jugador[[#This Row],[tackles]]+Estadisticas_jugador[[#This Row],[interceptions]]</f>
        <v>14</v>
      </c>
      <c r="S126">
        <v>0</v>
      </c>
    </row>
    <row r="127" spans="1:19" x14ac:dyDescent="0.3">
      <c r="A127" t="s">
        <v>675</v>
      </c>
      <c r="B127" t="s">
        <v>7</v>
      </c>
      <c r="C127">
        <v>19</v>
      </c>
      <c r="D127">
        <v>4</v>
      </c>
      <c r="E127">
        <v>597</v>
      </c>
      <c r="F127" t="str">
        <f>IF(Estadisticas_jugador[[#This Row],[minutes_played]]&gt;900, "Si", "No")</f>
        <v>No</v>
      </c>
      <c r="G127">
        <v>2</v>
      </c>
      <c r="H127">
        <v>0</v>
      </c>
      <c r="I127">
        <v>2.5009999999999999</v>
      </c>
      <c r="J127">
        <v>0.61042783</v>
      </c>
      <c r="K127">
        <v>6.6473684210526001</v>
      </c>
      <c r="L127">
        <v>15</v>
      </c>
      <c r="M127">
        <v>4</v>
      </c>
      <c r="N127">
        <v>0</v>
      </c>
      <c r="O127">
        <v>0</v>
      </c>
      <c r="P127">
        <v>5</v>
      </c>
      <c r="Q127">
        <v>3</v>
      </c>
      <c r="R127">
        <f>Estadisticas_jugador[[#This Row],[tackles]]+Estadisticas_jugador[[#This Row],[interceptions]]</f>
        <v>8</v>
      </c>
      <c r="S127">
        <v>0</v>
      </c>
    </row>
    <row r="128" spans="1:19" x14ac:dyDescent="0.3">
      <c r="A128" t="s">
        <v>676</v>
      </c>
      <c r="B128" t="s">
        <v>7</v>
      </c>
      <c r="C128">
        <v>22</v>
      </c>
      <c r="D128">
        <v>12</v>
      </c>
      <c r="E128">
        <v>1070</v>
      </c>
      <c r="F128" t="str">
        <f>IF(Estadisticas_jugador[[#This Row],[minutes_played]]&gt;900, "Si", "No")</f>
        <v>Si</v>
      </c>
      <c r="G128">
        <v>2</v>
      </c>
      <c r="H128">
        <v>2</v>
      </c>
      <c r="I128">
        <v>3.4710999999999999</v>
      </c>
      <c r="J128">
        <v>1.1199722599999999</v>
      </c>
      <c r="K128">
        <v>6.5590909090908998</v>
      </c>
      <c r="L128">
        <v>28</v>
      </c>
      <c r="M128">
        <v>10</v>
      </c>
      <c r="N128">
        <v>0</v>
      </c>
      <c r="O128">
        <v>0</v>
      </c>
      <c r="P128">
        <v>10</v>
      </c>
      <c r="Q128">
        <v>3</v>
      </c>
      <c r="R128">
        <f>Estadisticas_jugador[[#This Row],[tackles]]+Estadisticas_jugador[[#This Row],[interceptions]]</f>
        <v>13</v>
      </c>
      <c r="S128">
        <v>0</v>
      </c>
    </row>
    <row r="129" spans="1:19" x14ac:dyDescent="0.3">
      <c r="A129" t="s">
        <v>677</v>
      </c>
      <c r="B129" t="s">
        <v>7</v>
      </c>
      <c r="C129">
        <v>28</v>
      </c>
      <c r="D129">
        <v>19</v>
      </c>
      <c r="E129">
        <v>1820</v>
      </c>
      <c r="F129" t="str">
        <f>IF(Estadisticas_jugador[[#This Row],[minutes_played]]&gt;900, "Si", "No")</f>
        <v>Si</v>
      </c>
      <c r="G129">
        <v>0</v>
      </c>
      <c r="H129">
        <v>1</v>
      </c>
      <c r="I129">
        <v>1.0825</v>
      </c>
      <c r="J129">
        <v>1.3722154099999999</v>
      </c>
      <c r="K129">
        <v>6.7</v>
      </c>
      <c r="L129">
        <v>15</v>
      </c>
      <c r="M129">
        <v>3</v>
      </c>
      <c r="N129">
        <v>5</v>
      </c>
      <c r="O129">
        <v>0</v>
      </c>
      <c r="P129">
        <v>62</v>
      </c>
      <c r="Q129">
        <v>15</v>
      </c>
      <c r="R129">
        <f>Estadisticas_jugador[[#This Row],[tackles]]+Estadisticas_jugador[[#This Row],[interceptions]]</f>
        <v>77</v>
      </c>
      <c r="S129">
        <v>0</v>
      </c>
    </row>
    <row r="130" spans="1:19" x14ac:dyDescent="0.3">
      <c r="A130" t="s">
        <v>678</v>
      </c>
      <c r="B130" t="s">
        <v>7</v>
      </c>
      <c r="C130">
        <v>21</v>
      </c>
      <c r="D130">
        <v>9</v>
      </c>
      <c r="E130">
        <v>877</v>
      </c>
      <c r="F130" t="str">
        <f>IF(Estadisticas_jugador[[#This Row],[minutes_played]]&gt;900, "Si", "No")</f>
        <v>No</v>
      </c>
      <c r="G130">
        <v>3</v>
      </c>
      <c r="H130">
        <v>2</v>
      </c>
      <c r="I130">
        <v>2.9895</v>
      </c>
      <c r="J130">
        <v>0.88932845999999999</v>
      </c>
      <c r="K130">
        <v>6.6714285714286001</v>
      </c>
      <c r="L130">
        <v>18</v>
      </c>
      <c r="M130">
        <v>9</v>
      </c>
      <c r="N130">
        <v>2</v>
      </c>
      <c r="O130">
        <v>0</v>
      </c>
      <c r="P130">
        <v>18</v>
      </c>
      <c r="Q130">
        <v>2</v>
      </c>
      <c r="R130">
        <f>Estadisticas_jugador[[#This Row],[tackles]]+Estadisticas_jugador[[#This Row],[interceptions]]</f>
        <v>20</v>
      </c>
      <c r="S130">
        <v>0</v>
      </c>
    </row>
    <row r="131" spans="1:19" x14ac:dyDescent="0.3">
      <c r="A131" t="s">
        <v>679</v>
      </c>
      <c r="B131" t="s">
        <v>7</v>
      </c>
      <c r="C131">
        <v>25</v>
      </c>
      <c r="D131">
        <v>18</v>
      </c>
      <c r="E131">
        <v>1571</v>
      </c>
      <c r="F131" t="str">
        <f>IF(Estadisticas_jugador[[#This Row],[minutes_played]]&gt;900, "Si", "No")</f>
        <v>Si</v>
      </c>
      <c r="G131">
        <v>1</v>
      </c>
      <c r="H131">
        <v>4</v>
      </c>
      <c r="I131">
        <v>0.62929999999999997</v>
      </c>
      <c r="J131">
        <v>3.3040537699999999</v>
      </c>
      <c r="K131">
        <v>6.9320000000000004</v>
      </c>
      <c r="L131">
        <v>14</v>
      </c>
      <c r="M131">
        <v>5</v>
      </c>
      <c r="N131">
        <v>4</v>
      </c>
      <c r="O131">
        <v>0</v>
      </c>
      <c r="P131">
        <v>36</v>
      </c>
      <c r="Q131">
        <v>8</v>
      </c>
      <c r="R131">
        <f>Estadisticas_jugador[[#This Row],[tackles]]+Estadisticas_jugador[[#This Row],[interceptions]]</f>
        <v>44</v>
      </c>
      <c r="S131">
        <v>0</v>
      </c>
    </row>
    <row r="132" spans="1:19" x14ac:dyDescent="0.3">
      <c r="A132" t="s">
        <v>680</v>
      </c>
      <c r="B132" t="s">
        <v>7</v>
      </c>
      <c r="C132">
        <v>3</v>
      </c>
      <c r="D132">
        <v>1</v>
      </c>
      <c r="E132">
        <v>81</v>
      </c>
      <c r="F132" t="str">
        <f>IF(Estadisticas_jugador[[#This Row],[minutes_played]]&gt;900, "Si", "No")</f>
        <v>No</v>
      </c>
      <c r="G132">
        <v>0</v>
      </c>
      <c r="H132">
        <v>0</v>
      </c>
      <c r="I132">
        <v>8.0699999999999994E-2</v>
      </c>
      <c r="J132">
        <v>4.6948950000000003E-2</v>
      </c>
      <c r="K132">
        <v>6.8</v>
      </c>
      <c r="L132">
        <v>2</v>
      </c>
      <c r="M132">
        <v>0</v>
      </c>
      <c r="N132">
        <v>0</v>
      </c>
      <c r="O132">
        <v>0</v>
      </c>
      <c r="P132">
        <v>3</v>
      </c>
      <c r="Q132">
        <v>2</v>
      </c>
      <c r="R132">
        <f>Estadisticas_jugador[[#This Row],[tackles]]+Estadisticas_jugador[[#This Row],[interceptions]]</f>
        <v>5</v>
      </c>
      <c r="S132">
        <v>0</v>
      </c>
    </row>
    <row r="133" spans="1:19" x14ac:dyDescent="0.3">
      <c r="A133" t="s">
        <v>681</v>
      </c>
      <c r="B133" t="s">
        <v>7</v>
      </c>
      <c r="C133">
        <v>8</v>
      </c>
      <c r="D133">
        <v>6</v>
      </c>
      <c r="E133">
        <v>511</v>
      </c>
      <c r="F133" t="str">
        <f>IF(Estadisticas_jugador[[#This Row],[minutes_played]]&gt;900, "Si", "No")</f>
        <v>No</v>
      </c>
      <c r="G133">
        <v>0</v>
      </c>
      <c r="H133">
        <v>0</v>
      </c>
      <c r="I133">
        <v>0.34520000000000001</v>
      </c>
      <c r="J133">
        <v>0.40723047000000001</v>
      </c>
      <c r="K133">
        <v>6.6124999999999998</v>
      </c>
      <c r="L133">
        <v>5</v>
      </c>
      <c r="M133">
        <v>1</v>
      </c>
      <c r="N133">
        <v>1</v>
      </c>
      <c r="O133">
        <v>0</v>
      </c>
      <c r="P133">
        <v>2</v>
      </c>
      <c r="Q133">
        <v>2</v>
      </c>
      <c r="R133">
        <f>Estadisticas_jugador[[#This Row],[tackles]]+Estadisticas_jugador[[#This Row],[interceptions]]</f>
        <v>4</v>
      </c>
      <c r="S133">
        <v>0</v>
      </c>
    </row>
    <row r="134" spans="1:19" x14ac:dyDescent="0.3">
      <c r="A134" t="s">
        <v>682</v>
      </c>
      <c r="B134" t="s">
        <v>7</v>
      </c>
      <c r="C134">
        <v>20</v>
      </c>
      <c r="D134">
        <v>10</v>
      </c>
      <c r="E134">
        <v>968</v>
      </c>
      <c r="F134" t="str">
        <f>IF(Estadisticas_jugador[[#This Row],[minutes_played]]&gt;900, "Si", "No")</f>
        <v>Si</v>
      </c>
      <c r="G134">
        <v>3</v>
      </c>
      <c r="H134">
        <v>1</v>
      </c>
      <c r="I134">
        <v>1.3666</v>
      </c>
      <c r="J134">
        <v>1.67012732</v>
      </c>
      <c r="K134">
        <v>6.8150000000000004</v>
      </c>
      <c r="L134">
        <v>7</v>
      </c>
      <c r="M134">
        <v>4</v>
      </c>
      <c r="N134">
        <v>2</v>
      </c>
      <c r="O134">
        <v>0</v>
      </c>
      <c r="P134">
        <v>10</v>
      </c>
      <c r="Q134">
        <v>8</v>
      </c>
      <c r="R134">
        <f>Estadisticas_jugador[[#This Row],[tackles]]+Estadisticas_jugador[[#This Row],[interceptions]]</f>
        <v>18</v>
      </c>
      <c r="S134">
        <v>0</v>
      </c>
    </row>
    <row r="135" spans="1:19" x14ac:dyDescent="0.3">
      <c r="A135" t="s">
        <v>683</v>
      </c>
      <c r="B135" t="s">
        <v>7</v>
      </c>
      <c r="C135">
        <v>16</v>
      </c>
      <c r="D135">
        <v>13</v>
      </c>
      <c r="E135">
        <v>1091</v>
      </c>
      <c r="F135" t="str">
        <f>IF(Estadisticas_jugador[[#This Row],[minutes_played]]&gt;900, "Si", "No")</f>
        <v>Si</v>
      </c>
      <c r="G135">
        <v>0</v>
      </c>
      <c r="H135">
        <v>2</v>
      </c>
      <c r="I135">
        <v>9.1399999999999995E-2</v>
      </c>
      <c r="J135">
        <v>2.0572193599999999</v>
      </c>
      <c r="K135">
        <v>7.0437500000000002</v>
      </c>
      <c r="L135">
        <v>2</v>
      </c>
      <c r="M135">
        <v>1</v>
      </c>
      <c r="N135">
        <v>2</v>
      </c>
      <c r="O135">
        <v>0</v>
      </c>
      <c r="P135">
        <v>26</v>
      </c>
      <c r="Q135">
        <v>12</v>
      </c>
      <c r="R135">
        <f>Estadisticas_jugador[[#This Row],[tackles]]+Estadisticas_jugador[[#This Row],[interceptions]]</f>
        <v>38</v>
      </c>
      <c r="S135">
        <v>0</v>
      </c>
    </row>
    <row r="136" spans="1:19" x14ac:dyDescent="0.3">
      <c r="A136" t="s">
        <v>684</v>
      </c>
      <c r="B136" t="s">
        <v>7</v>
      </c>
      <c r="C136">
        <v>25</v>
      </c>
      <c r="D136">
        <v>21</v>
      </c>
      <c r="E136">
        <v>1951</v>
      </c>
      <c r="F136" t="str">
        <f>IF(Estadisticas_jugador[[#This Row],[minutes_played]]&gt;900, "Si", "No")</f>
        <v>Si</v>
      </c>
      <c r="G136">
        <v>2</v>
      </c>
      <c r="H136">
        <v>1</v>
      </c>
      <c r="I136">
        <v>1.3835999999999999</v>
      </c>
      <c r="J136">
        <v>1.4099673699999999</v>
      </c>
      <c r="K136">
        <v>6.85</v>
      </c>
      <c r="L136">
        <v>12</v>
      </c>
      <c r="M136">
        <v>5</v>
      </c>
      <c r="N136">
        <v>2</v>
      </c>
      <c r="O136">
        <v>0</v>
      </c>
      <c r="P136">
        <v>27</v>
      </c>
      <c r="Q136">
        <v>18</v>
      </c>
      <c r="R136">
        <f>Estadisticas_jugador[[#This Row],[tackles]]+Estadisticas_jugador[[#This Row],[interceptions]]</f>
        <v>45</v>
      </c>
      <c r="S136">
        <v>0</v>
      </c>
    </row>
    <row r="137" spans="1:19" x14ac:dyDescent="0.3">
      <c r="A137" t="s">
        <v>685</v>
      </c>
      <c r="B137" t="s">
        <v>7</v>
      </c>
      <c r="C137">
        <v>19</v>
      </c>
      <c r="D137">
        <v>14</v>
      </c>
      <c r="E137">
        <v>1310</v>
      </c>
      <c r="F137" t="str">
        <f>IF(Estadisticas_jugador[[#This Row],[minutes_played]]&gt;900, "Si", "No")</f>
        <v>Si</v>
      </c>
      <c r="G137">
        <v>1</v>
      </c>
      <c r="H137">
        <v>0</v>
      </c>
      <c r="I137">
        <v>0.90969999999999995</v>
      </c>
      <c r="J137">
        <v>1.3856883200000001</v>
      </c>
      <c r="K137">
        <v>6.9473684210525999</v>
      </c>
      <c r="L137">
        <v>8</v>
      </c>
      <c r="M137">
        <v>1</v>
      </c>
      <c r="N137">
        <v>3</v>
      </c>
      <c r="O137">
        <v>0</v>
      </c>
      <c r="P137">
        <v>27</v>
      </c>
      <c r="Q137">
        <v>12</v>
      </c>
      <c r="R137">
        <f>Estadisticas_jugador[[#This Row],[tackles]]+Estadisticas_jugador[[#This Row],[interceptions]]</f>
        <v>39</v>
      </c>
      <c r="S137">
        <v>0</v>
      </c>
    </row>
    <row r="138" spans="1:19" x14ac:dyDescent="0.3">
      <c r="A138" t="s">
        <v>686</v>
      </c>
      <c r="B138" t="s">
        <v>7</v>
      </c>
      <c r="C138">
        <v>1</v>
      </c>
      <c r="D138">
        <v>0</v>
      </c>
      <c r="E138">
        <v>17</v>
      </c>
      <c r="F138" t="str">
        <f>IF(Estadisticas_jugador[[#This Row],[minutes_played]]&gt;900, "Si", "No")</f>
        <v>No</v>
      </c>
      <c r="G138">
        <v>0</v>
      </c>
      <c r="H138">
        <v>0</v>
      </c>
      <c r="J138">
        <v>2.7605000000000001E-4</v>
      </c>
      <c r="K138">
        <v>6.2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f>Estadisticas_jugador[[#This Row],[tackles]]+Estadisticas_jugador[[#This Row],[interceptions]]</f>
        <v>0</v>
      </c>
      <c r="S138">
        <v>0</v>
      </c>
    </row>
    <row r="139" spans="1:19" x14ac:dyDescent="0.3">
      <c r="A139" t="s">
        <v>687</v>
      </c>
      <c r="B139" t="s">
        <v>7</v>
      </c>
      <c r="C139">
        <v>24</v>
      </c>
      <c r="D139">
        <v>23</v>
      </c>
      <c r="E139">
        <v>2064</v>
      </c>
      <c r="F139" t="str">
        <f>IF(Estadisticas_jugador[[#This Row],[minutes_played]]&gt;900, "Si", "No")</f>
        <v>Si</v>
      </c>
      <c r="G139">
        <v>1</v>
      </c>
      <c r="H139">
        <v>0</v>
      </c>
      <c r="I139">
        <v>2.0405000000000002</v>
      </c>
      <c r="J139">
        <v>1.4097972000000001</v>
      </c>
      <c r="K139">
        <v>7.0541666666667</v>
      </c>
      <c r="L139">
        <v>21</v>
      </c>
      <c r="M139">
        <v>3</v>
      </c>
      <c r="N139">
        <v>3</v>
      </c>
      <c r="O139">
        <v>0</v>
      </c>
      <c r="P139">
        <v>32</v>
      </c>
      <c r="Q139">
        <v>23</v>
      </c>
      <c r="R139">
        <f>Estadisticas_jugador[[#This Row],[tackles]]+Estadisticas_jugador[[#This Row],[interceptions]]</f>
        <v>55</v>
      </c>
      <c r="S139">
        <v>0</v>
      </c>
    </row>
    <row r="140" spans="1:19" x14ac:dyDescent="0.3">
      <c r="A140" t="s">
        <v>688</v>
      </c>
      <c r="B140" t="s">
        <v>7</v>
      </c>
      <c r="C140">
        <v>6</v>
      </c>
      <c r="D140">
        <v>5</v>
      </c>
      <c r="E140">
        <v>459</v>
      </c>
      <c r="F140" t="str">
        <f>IF(Estadisticas_jugador[[#This Row],[minutes_played]]&gt;900, "Si", "No")</f>
        <v>No</v>
      </c>
      <c r="G140">
        <v>0</v>
      </c>
      <c r="H140">
        <v>0</v>
      </c>
      <c r="I140">
        <v>0.2417</v>
      </c>
      <c r="J140">
        <v>3.8800290000000001E-2</v>
      </c>
      <c r="K140">
        <v>6.3666666666667</v>
      </c>
      <c r="L140">
        <v>2</v>
      </c>
      <c r="M140">
        <v>0</v>
      </c>
      <c r="N140">
        <v>0</v>
      </c>
      <c r="O140">
        <v>0</v>
      </c>
      <c r="P140">
        <v>6</v>
      </c>
      <c r="Q140">
        <v>7</v>
      </c>
      <c r="R140">
        <f>Estadisticas_jugador[[#This Row],[tackles]]+Estadisticas_jugador[[#This Row],[interceptions]]</f>
        <v>13</v>
      </c>
      <c r="S140">
        <v>0</v>
      </c>
    </row>
    <row r="141" spans="1:19" x14ac:dyDescent="0.3">
      <c r="A141" t="s">
        <v>689</v>
      </c>
      <c r="B141" t="s">
        <v>7</v>
      </c>
      <c r="C141">
        <v>19</v>
      </c>
      <c r="D141">
        <v>17</v>
      </c>
      <c r="E141">
        <v>1493</v>
      </c>
      <c r="F141" t="str">
        <f>IF(Estadisticas_jugador[[#This Row],[minutes_played]]&gt;900, "Si", "No")</f>
        <v>Si</v>
      </c>
      <c r="G141">
        <v>0</v>
      </c>
      <c r="H141">
        <v>0</v>
      </c>
      <c r="I141">
        <v>0.55149999999999999</v>
      </c>
      <c r="J141">
        <v>0.11377528000000001</v>
      </c>
      <c r="K141">
        <v>6.8578947368421002</v>
      </c>
      <c r="L141">
        <v>4</v>
      </c>
      <c r="M141">
        <v>1</v>
      </c>
      <c r="N141">
        <v>1</v>
      </c>
      <c r="O141">
        <v>1</v>
      </c>
      <c r="P141">
        <v>23</v>
      </c>
      <c r="Q141">
        <v>17</v>
      </c>
      <c r="R141">
        <f>Estadisticas_jugador[[#This Row],[tackles]]+Estadisticas_jugador[[#This Row],[interceptions]]</f>
        <v>40</v>
      </c>
      <c r="S141">
        <v>0</v>
      </c>
    </row>
    <row r="142" spans="1:19" x14ac:dyDescent="0.3">
      <c r="A142" t="s">
        <v>690</v>
      </c>
      <c r="B142" t="s">
        <v>7</v>
      </c>
      <c r="C142">
        <v>25</v>
      </c>
      <c r="D142">
        <v>20</v>
      </c>
      <c r="E142">
        <v>1886</v>
      </c>
      <c r="F142" t="str">
        <f>IF(Estadisticas_jugador[[#This Row],[minutes_played]]&gt;900, "Si", "No")</f>
        <v>Si</v>
      </c>
      <c r="G142">
        <v>0</v>
      </c>
      <c r="H142">
        <v>1</v>
      </c>
      <c r="I142">
        <v>0.52690000000000003</v>
      </c>
      <c r="J142">
        <v>0.69352057</v>
      </c>
      <c r="K142">
        <v>6.7679999999999998</v>
      </c>
      <c r="L142">
        <v>10</v>
      </c>
      <c r="M142">
        <v>2</v>
      </c>
      <c r="N142">
        <v>4</v>
      </c>
      <c r="O142">
        <v>0</v>
      </c>
      <c r="P142">
        <v>30</v>
      </c>
      <c r="Q142">
        <v>19</v>
      </c>
      <c r="R142">
        <f>Estadisticas_jugador[[#This Row],[tackles]]+Estadisticas_jugador[[#This Row],[interceptions]]</f>
        <v>49</v>
      </c>
      <c r="S142">
        <v>0</v>
      </c>
    </row>
    <row r="143" spans="1:19" x14ac:dyDescent="0.3">
      <c r="A143" t="s">
        <v>691</v>
      </c>
      <c r="B143" t="s">
        <v>7</v>
      </c>
      <c r="C143">
        <v>4</v>
      </c>
      <c r="D143">
        <v>4</v>
      </c>
      <c r="E143">
        <v>255</v>
      </c>
      <c r="F143" t="str">
        <f>IF(Estadisticas_jugador[[#This Row],[minutes_played]]&gt;900, "Si", "No")</f>
        <v>No</v>
      </c>
      <c r="G143">
        <v>0</v>
      </c>
      <c r="H143">
        <v>0</v>
      </c>
      <c r="I143">
        <v>0.02</v>
      </c>
      <c r="J143">
        <v>2.4816979999999999E-2</v>
      </c>
      <c r="K143">
        <v>6.65</v>
      </c>
      <c r="L143">
        <v>1</v>
      </c>
      <c r="M143">
        <v>0</v>
      </c>
      <c r="N143">
        <v>0</v>
      </c>
      <c r="O143">
        <v>0</v>
      </c>
      <c r="P143">
        <v>1</v>
      </c>
      <c r="Q143">
        <v>2</v>
      </c>
      <c r="R143">
        <f>Estadisticas_jugador[[#This Row],[tackles]]+Estadisticas_jugador[[#This Row],[interceptions]]</f>
        <v>3</v>
      </c>
      <c r="S143">
        <v>0</v>
      </c>
    </row>
    <row r="144" spans="1:19" x14ac:dyDescent="0.3">
      <c r="A144" t="s">
        <v>692</v>
      </c>
      <c r="B144" t="s">
        <v>7</v>
      </c>
      <c r="C144">
        <v>21</v>
      </c>
      <c r="D144">
        <v>21</v>
      </c>
      <c r="E144">
        <v>1764</v>
      </c>
      <c r="F144" t="str">
        <f>IF(Estadisticas_jugador[[#This Row],[minutes_played]]&gt;900, "Si", "No")</f>
        <v>Si</v>
      </c>
      <c r="G144">
        <v>0</v>
      </c>
      <c r="H144">
        <v>2</v>
      </c>
      <c r="I144">
        <v>0.28649999999999998</v>
      </c>
      <c r="J144">
        <v>2.7514062699999999</v>
      </c>
      <c r="K144">
        <v>6.9619047619048002</v>
      </c>
      <c r="L144">
        <v>6</v>
      </c>
      <c r="M144">
        <v>1</v>
      </c>
      <c r="N144">
        <v>2</v>
      </c>
      <c r="O144">
        <v>0</v>
      </c>
      <c r="P144">
        <v>25</v>
      </c>
      <c r="Q144">
        <v>16</v>
      </c>
      <c r="R144">
        <f>Estadisticas_jugador[[#This Row],[tackles]]+Estadisticas_jugador[[#This Row],[interceptions]]</f>
        <v>41</v>
      </c>
      <c r="S144">
        <v>0</v>
      </c>
    </row>
    <row r="145" spans="1:19" x14ac:dyDescent="0.3">
      <c r="A145" t="s">
        <v>693</v>
      </c>
      <c r="B145" t="s">
        <v>7</v>
      </c>
      <c r="C145">
        <v>20</v>
      </c>
      <c r="D145">
        <v>10</v>
      </c>
      <c r="E145">
        <v>985</v>
      </c>
      <c r="F145" t="str">
        <f>IF(Estadisticas_jugador[[#This Row],[minutes_played]]&gt;900, "Si", "No")</f>
        <v>Si</v>
      </c>
      <c r="G145">
        <v>2</v>
      </c>
      <c r="H145">
        <v>4</v>
      </c>
      <c r="I145">
        <v>1.2677</v>
      </c>
      <c r="J145">
        <v>2.2199423899999999</v>
      </c>
      <c r="K145">
        <v>6.8550000000000004</v>
      </c>
      <c r="L145">
        <v>10</v>
      </c>
      <c r="M145">
        <v>3</v>
      </c>
      <c r="N145">
        <v>4</v>
      </c>
      <c r="O145">
        <v>0</v>
      </c>
      <c r="P145">
        <v>14</v>
      </c>
      <c r="Q145">
        <v>14</v>
      </c>
      <c r="R145">
        <f>Estadisticas_jugador[[#This Row],[tackles]]+Estadisticas_jugador[[#This Row],[interceptions]]</f>
        <v>28</v>
      </c>
      <c r="S145">
        <v>0</v>
      </c>
    </row>
    <row r="146" spans="1:19" x14ac:dyDescent="0.3">
      <c r="A146" t="s">
        <v>694</v>
      </c>
      <c r="B146" t="s">
        <v>7</v>
      </c>
      <c r="C146">
        <v>8</v>
      </c>
      <c r="D146">
        <v>6</v>
      </c>
      <c r="E146">
        <v>610</v>
      </c>
      <c r="F146" t="str">
        <f>IF(Estadisticas_jugador[[#This Row],[minutes_played]]&gt;900, "Si", "No")</f>
        <v>No</v>
      </c>
      <c r="G146">
        <v>0</v>
      </c>
      <c r="H146">
        <v>0</v>
      </c>
      <c r="I146">
        <v>0.52429999999999999</v>
      </c>
      <c r="J146">
        <v>7.446759E-2</v>
      </c>
      <c r="K146">
        <v>6.6875</v>
      </c>
      <c r="L146">
        <v>2</v>
      </c>
      <c r="M146">
        <v>1</v>
      </c>
      <c r="N146">
        <v>1</v>
      </c>
      <c r="O146">
        <v>0</v>
      </c>
      <c r="P146">
        <v>13</v>
      </c>
      <c r="Q146">
        <v>5</v>
      </c>
      <c r="R146">
        <f>Estadisticas_jugador[[#This Row],[tackles]]+Estadisticas_jugador[[#This Row],[interceptions]]</f>
        <v>18</v>
      </c>
      <c r="S146">
        <v>0</v>
      </c>
    </row>
    <row r="147" spans="1:19" x14ac:dyDescent="0.3">
      <c r="A147" t="s">
        <v>695</v>
      </c>
      <c r="B147" t="s">
        <v>7</v>
      </c>
      <c r="C147">
        <v>4</v>
      </c>
      <c r="D147">
        <v>4</v>
      </c>
      <c r="E147">
        <v>335</v>
      </c>
      <c r="F147" t="str">
        <f>IF(Estadisticas_jugador[[#This Row],[minutes_played]]&gt;900, "Si", "No")</f>
        <v>No</v>
      </c>
      <c r="G147">
        <v>0</v>
      </c>
      <c r="H147">
        <v>0</v>
      </c>
      <c r="J147">
        <v>5.201894E-2</v>
      </c>
      <c r="K147">
        <v>6.7</v>
      </c>
      <c r="L147">
        <v>0</v>
      </c>
      <c r="M147">
        <v>0</v>
      </c>
      <c r="N147">
        <v>2</v>
      </c>
      <c r="O147">
        <v>0</v>
      </c>
      <c r="P147">
        <v>7</v>
      </c>
      <c r="Q147">
        <v>3</v>
      </c>
      <c r="R147">
        <f>Estadisticas_jugador[[#This Row],[tackles]]+Estadisticas_jugador[[#This Row],[interceptions]]</f>
        <v>10</v>
      </c>
      <c r="S147">
        <v>0</v>
      </c>
    </row>
    <row r="148" spans="1:19" x14ac:dyDescent="0.3">
      <c r="A148" t="s">
        <v>696</v>
      </c>
      <c r="B148" t="s">
        <v>7</v>
      </c>
      <c r="C148">
        <v>13</v>
      </c>
      <c r="D148">
        <v>9</v>
      </c>
      <c r="E148">
        <v>720</v>
      </c>
      <c r="F148" t="str">
        <f>IF(Estadisticas_jugador[[#This Row],[minutes_played]]&gt;900, "Si", "No")</f>
        <v>No</v>
      </c>
      <c r="G148">
        <v>0</v>
      </c>
      <c r="H148">
        <v>0</v>
      </c>
      <c r="I148">
        <v>5.2200000000000003E-2</v>
      </c>
      <c r="J148">
        <v>9.2937859999999997E-2</v>
      </c>
      <c r="K148">
        <v>6.7</v>
      </c>
      <c r="L148">
        <v>2</v>
      </c>
      <c r="M148">
        <v>0</v>
      </c>
      <c r="N148">
        <v>2</v>
      </c>
      <c r="O148">
        <v>0</v>
      </c>
      <c r="P148">
        <v>13</v>
      </c>
      <c r="Q148">
        <v>7</v>
      </c>
      <c r="R148">
        <f>Estadisticas_jugador[[#This Row],[tackles]]+Estadisticas_jugador[[#This Row],[interceptions]]</f>
        <v>20</v>
      </c>
      <c r="S148">
        <v>0</v>
      </c>
    </row>
    <row r="149" spans="1:19" x14ac:dyDescent="0.3">
      <c r="A149" t="s">
        <v>697</v>
      </c>
      <c r="B149" t="s">
        <v>7</v>
      </c>
      <c r="C149">
        <v>29</v>
      </c>
      <c r="D149">
        <v>29</v>
      </c>
      <c r="E149">
        <v>2610</v>
      </c>
      <c r="F149" t="str">
        <f>IF(Estadisticas_jugador[[#This Row],[minutes_played]]&gt;900, "Si", "No")</f>
        <v>Si</v>
      </c>
      <c r="G149">
        <v>0</v>
      </c>
      <c r="H149">
        <v>0</v>
      </c>
      <c r="J149">
        <v>4.200276E-2</v>
      </c>
      <c r="K149">
        <v>7.0551724137931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f>Estadisticas_jugador[[#This Row],[tackles]]+Estadisticas_jugador[[#This Row],[interceptions]]</f>
        <v>0</v>
      </c>
      <c r="S149">
        <v>84</v>
      </c>
    </row>
    <row r="150" spans="1:19" x14ac:dyDescent="0.3">
      <c r="A150" t="s">
        <v>698</v>
      </c>
      <c r="B150" t="s">
        <v>7</v>
      </c>
      <c r="C150">
        <v>26</v>
      </c>
      <c r="D150">
        <v>25</v>
      </c>
      <c r="E150">
        <v>2184</v>
      </c>
      <c r="F150" t="str">
        <f>IF(Estadisticas_jugador[[#This Row],[minutes_played]]&gt;900, "Si", "No")</f>
        <v>Si</v>
      </c>
      <c r="G150">
        <v>12</v>
      </c>
      <c r="H150">
        <v>3</v>
      </c>
      <c r="I150">
        <v>12.558999999999999</v>
      </c>
      <c r="J150">
        <v>2.9526968199999999</v>
      </c>
      <c r="K150">
        <v>7.0692307692308001</v>
      </c>
      <c r="L150">
        <v>68</v>
      </c>
      <c r="M150">
        <v>30</v>
      </c>
      <c r="N150">
        <v>2</v>
      </c>
      <c r="O150">
        <v>0</v>
      </c>
      <c r="P150">
        <v>20</v>
      </c>
      <c r="Q150">
        <v>3</v>
      </c>
      <c r="R150">
        <f>Estadisticas_jugador[[#This Row],[tackles]]+Estadisticas_jugador[[#This Row],[interceptions]]</f>
        <v>23</v>
      </c>
      <c r="S150">
        <v>0</v>
      </c>
    </row>
    <row r="151" spans="1:19" x14ac:dyDescent="0.3">
      <c r="A151" t="s">
        <v>699</v>
      </c>
      <c r="B151" t="s">
        <v>7</v>
      </c>
      <c r="C151">
        <v>12</v>
      </c>
      <c r="D151">
        <v>2</v>
      </c>
      <c r="E151">
        <v>312</v>
      </c>
      <c r="F151" t="str">
        <f>IF(Estadisticas_jugador[[#This Row],[minutes_played]]&gt;900, "Si", "No")</f>
        <v>No</v>
      </c>
      <c r="G151">
        <v>4</v>
      </c>
      <c r="H151">
        <v>0</v>
      </c>
      <c r="I151">
        <v>2.2778999999999998</v>
      </c>
      <c r="J151">
        <v>0.13180664</v>
      </c>
      <c r="K151">
        <v>6.8272727272726996</v>
      </c>
      <c r="L151">
        <v>9</v>
      </c>
      <c r="M151">
        <v>6</v>
      </c>
      <c r="N151">
        <v>2</v>
      </c>
      <c r="O151">
        <v>0</v>
      </c>
      <c r="P151">
        <v>4</v>
      </c>
      <c r="Q151">
        <v>1</v>
      </c>
      <c r="R151">
        <f>Estadisticas_jugador[[#This Row],[tackles]]+Estadisticas_jugador[[#This Row],[interceptions]]</f>
        <v>5</v>
      </c>
      <c r="S151">
        <v>0</v>
      </c>
    </row>
    <row r="152" spans="1:19" x14ac:dyDescent="0.3">
      <c r="A152" t="s">
        <v>700</v>
      </c>
      <c r="B152" t="s">
        <v>7</v>
      </c>
      <c r="C152">
        <v>23</v>
      </c>
      <c r="D152">
        <v>16</v>
      </c>
      <c r="E152">
        <v>1365</v>
      </c>
      <c r="F152" t="str">
        <f>IF(Estadisticas_jugador[[#This Row],[minutes_played]]&gt;900, "Si", "No")</f>
        <v>Si</v>
      </c>
      <c r="G152">
        <v>3</v>
      </c>
      <c r="H152">
        <v>3</v>
      </c>
      <c r="I152">
        <v>2.133</v>
      </c>
      <c r="J152">
        <v>3.9439638600000002</v>
      </c>
      <c r="K152">
        <v>6.8521739130435</v>
      </c>
      <c r="L152">
        <v>26</v>
      </c>
      <c r="M152">
        <v>8</v>
      </c>
      <c r="N152">
        <v>2</v>
      </c>
      <c r="O152">
        <v>0</v>
      </c>
      <c r="P152">
        <v>19</v>
      </c>
      <c r="Q152">
        <v>13</v>
      </c>
      <c r="R152">
        <f>Estadisticas_jugador[[#This Row],[tackles]]+Estadisticas_jugador[[#This Row],[interceptions]]</f>
        <v>32</v>
      </c>
      <c r="S152">
        <v>0</v>
      </c>
    </row>
    <row r="153" spans="1:19" x14ac:dyDescent="0.3">
      <c r="A153" t="s">
        <v>701</v>
      </c>
      <c r="B153" t="s">
        <v>7</v>
      </c>
      <c r="C153">
        <v>6</v>
      </c>
      <c r="D153">
        <v>0</v>
      </c>
      <c r="E153">
        <v>127</v>
      </c>
      <c r="F153" t="str">
        <f>IF(Estadisticas_jugador[[#This Row],[minutes_played]]&gt;900, "Si", "No")</f>
        <v>No</v>
      </c>
      <c r="G153">
        <v>0</v>
      </c>
      <c r="H153">
        <v>0</v>
      </c>
      <c r="I153">
        <v>0.89759999999999995</v>
      </c>
      <c r="J153">
        <v>3.0764449999999999E-2</v>
      </c>
      <c r="K153">
        <v>6.3833333333333</v>
      </c>
      <c r="L153">
        <v>6</v>
      </c>
      <c r="M153">
        <v>2</v>
      </c>
      <c r="N153">
        <v>0</v>
      </c>
      <c r="O153">
        <v>0</v>
      </c>
      <c r="P153">
        <v>1</v>
      </c>
      <c r="Q153">
        <v>0</v>
      </c>
      <c r="R153">
        <f>Estadisticas_jugador[[#This Row],[tackles]]+Estadisticas_jugador[[#This Row],[interceptions]]</f>
        <v>1</v>
      </c>
      <c r="S153">
        <v>0</v>
      </c>
    </row>
    <row r="154" spans="1:19" x14ac:dyDescent="0.3">
      <c r="A154" t="s">
        <v>702</v>
      </c>
      <c r="B154" t="s">
        <v>7</v>
      </c>
      <c r="C154">
        <v>18</v>
      </c>
      <c r="D154">
        <v>13</v>
      </c>
      <c r="E154">
        <v>1183</v>
      </c>
      <c r="F154" t="str">
        <f>IF(Estadisticas_jugador[[#This Row],[minutes_played]]&gt;900, "Si", "No")</f>
        <v>Si</v>
      </c>
      <c r="G154">
        <v>2</v>
      </c>
      <c r="H154">
        <v>3</v>
      </c>
      <c r="I154">
        <v>2.2793000000000001</v>
      </c>
      <c r="J154">
        <v>2.32870117</v>
      </c>
      <c r="K154">
        <v>7.0833333333333002</v>
      </c>
      <c r="L154">
        <v>25</v>
      </c>
      <c r="M154">
        <v>12</v>
      </c>
      <c r="N154">
        <v>0</v>
      </c>
      <c r="O154">
        <v>0</v>
      </c>
      <c r="P154">
        <v>25</v>
      </c>
      <c r="Q154">
        <v>7</v>
      </c>
      <c r="R154">
        <f>Estadisticas_jugador[[#This Row],[tackles]]+Estadisticas_jugador[[#This Row],[interceptions]]</f>
        <v>32</v>
      </c>
      <c r="S154">
        <v>0</v>
      </c>
    </row>
    <row r="155" spans="1:19" x14ac:dyDescent="0.3">
      <c r="A155" t="s">
        <v>703</v>
      </c>
      <c r="B155" t="s">
        <v>7</v>
      </c>
      <c r="C155">
        <v>3</v>
      </c>
      <c r="D155">
        <v>1</v>
      </c>
      <c r="E155">
        <v>71</v>
      </c>
      <c r="F155" t="str">
        <f>IF(Estadisticas_jugador[[#This Row],[minutes_played]]&gt;900, "Si", "No")</f>
        <v>No</v>
      </c>
      <c r="G155">
        <v>0</v>
      </c>
      <c r="H155">
        <v>0</v>
      </c>
      <c r="J155">
        <v>1.3556500000000001E-2</v>
      </c>
      <c r="K155">
        <v>6.4333333333332998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f>Estadisticas_jugador[[#This Row],[tackles]]+Estadisticas_jugador[[#This Row],[interceptions]]</f>
        <v>0</v>
      </c>
      <c r="S155">
        <v>0</v>
      </c>
    </row>
    <row r="156" spans="1:19" x14ac:dyDescent="0.3">
      <c r="A156" t="s">
        <v>704</v>
      </c>
      <c r="B156" t="s">
        <v>7</v>
      </c>
      <c r="C156">
        <v>14</v>
      </c>
      <c r="D156">
        <v>6</v>
      </c>
      <c r="E156">
        <v>577</v>
      </c>
      <c r="F156" t="str">
        <f>IF(Estadisticas_jugador[[#This Row],[minutes_played]]&gt;900, "Si", "No")</f>
        <v>No</v>
      </c>
      <c r="G156">
        <v>2</v>
      </c>
      <c r="H156">
        <v>1</v>
      </c>
      <c r="I156">
        <v>1.3206</v>
      </c>
      <c r="J156">
        <v>0.28790948999999999</v>
      </c>
      <c r="K156">
        <v>6.7142857142857002</v>
      </c>
      <c r="L156">
        <v>15</v>
      </c>
      <c r="M156">
        <v>5</v>
      </c>
      <c r="N156">
        <v>1</v>
      </c>
      <c r="O156">
        <v>0</v>
      </c>
      <c r="P156">
        <v>6</v>
      </c>
      <c r="Q156">
        <v>3</v>
      </c>
      <c r="R156">
        <f>Estadisticas_jugador[[#This Row],[tackles]]+Estadisticas_jugador[[#This Row],[interceptions]]</f>
        <v>9</v>
      </c>
      <c r="S156">
        <v>0</v>
      </c>
    </row>
    <row r="157" spans="1:19" x14ac:dyDescent="0.3">
      <c r="A157" t="s">
        <v>705</v>
      </c>
      <c r="B157" t="s">
        <v>7</v>
      </c>
      <c r="C157">
        <v>16</v>
      </c>
      <c r="D157">
        <v>2</v>
      </c>
      <c r="E157">
        <v>391</v>
      </c>
      <c r="F157" t="str">
        <f>IF(Estadisticas_jugador[[#This Row],[minutes_played]]&gt;900, "Si", "No")</f>
        <v>No</v>
      </c>
      <c r="G157">
        <v>0</v>
      </c>
      <c r="H157">
        <v>0</v>
      </c>
      <c r="I157">
        <v>1.0178</v>
      </c>
      <c r="J157">
        <v>1.0752966900000001</v>
      </c>
      <c r="K157">
        <v>6.52</v>
      </c>
      <c r="L157">
        <v>14</v>
      </c>
      <c r="M157">
        <v>3</v>
      </c>
      <c r="N157">
        <v>1</v>
      </c>
      <c r="O157">
        <v>0</v>
      </c>
      <c r="P157">
        <v>9</v>
      </c>
      <c r="Q157">
        <v>0</v>
      </c>
      <c r="R157">
        <f>Estadisticas_jugador[[#This Row],[tackles]]+Estadisticas_jugador[[#This Row],[interceptions]]</f>
        <v>9</v>
      </c>
      <c r="S157">
        <v>0</v>
      </c>
    </row>
    <row r="158" spans="1:19" x14ac:dyDescent="0.3">
      <c r="A158" t="s">
        <v>706</v>
      </c>
      <c r="B158" t="s">
        <v>7</v>
      </c>
      <c r="C158">
        <v>27</v>
      </c>
      <c r="D158">
        <v>23</v>
      </c>
      <c r="E158">
        <v>2065</v>
      </c>
      <c r="F158" t="str">
        <f>IF(Estadisticas_jugador[[#This Row],[minutes_played]]&gt;900, "Si", "No")</f>
        <v>Si</v>
      </c>
      <c r="G158">
        <v>0</v>
      </c>
      <c r="H158">
        <v>2</v>
      </c>
      <c r="I158">
        <v>0.87909999999999999</v>
      </c>
      <c r="J158">
        <v>3.5786600399999999</v>
      </c>
      <c r="K158">
        <v>6.7777777777777999</v>
      </c>
      <c r="L158">
        <v>9</v>
      </c>
      <c r="M158">
        <v>0</v>
      </c>
      <c r="N158">
        <v>2</v>
      </c>
      <c r="O158">
        <v>0</v>
      </c>
      <c r="P158">
        <v>77</v>
      </c>
      <c r="Q158">
        <v>24</v>
      </c>
      <c r="R158">
        <f>Estadisticas_jugador[[#This Row],[tackles]]+Estadisticas_jugador[[#This Row],[interceptions]]</f>
        <v>101</v>
      </c>
      <c r="S158">
        <v>0</v>
      </c>
    </row>
    <row r="159" spans="1:19" x14ac:dyDescent="0.3">
      <c r="A159" t="s">
        <v>707</v>
      </c>
      <c r="B159" t="s">
        <v>7</v>
      </c>
      <c r="C159">
        <v>10</v>
      </c>
      <c r="D159">
        <v>6</v>
      </c>
      <c r="E159">
        <v>421</v>
      </c>
      <c r="F159" t="str">
        <f>IF(Estadisticas_jugador[[#This Row],[minutes_played]]&gt;900, "Si", "No")</f>
        <v>No</v>
      </c>
      <c r="G159">
        <v>0</v>
      </c>
      <c r="H159">
        <v>0</v>
      </c>
      <c r="I159">
        <v>0.40410000000000001</v>
      </c>
      <c r="J159">
        <v>0.19102089999999999</v>
      </c>
      <c r="K159">
        <v>6.6</v>
      </c>
      <c r="L159">
        <v>6</v>
      </c>
      <c r="M159">
        <v>1</v>
      </c>
      <c r="N159">
        <v>1</v>
      </c>
      <c r="O159">
        <v>0</v>
      </c>
      <c r="P159">
        <v>7</v>
      </c>
      <c r="Q159">
        <v>2</v>
      </c>
      <c r="R159">
        <f>Estadisticas_jugador[[#This Row],[tackles]]+Estadisticas_jugador[[#This Row],[interceptions]]</f>
        <v>9</v>
      </c>
      <c r="S159">
        <v>0</v>
      </c>
    </row>
    <row r="160" spans="1:19" x14ac:dyDescent="0.3">
      <c r="A160" t="s">
        <v>708</v>
      </c>
      <c r="B160" t="s">
        <v>7</v>
      </c>
      <c r="C160">
        <v>24</v>
      </c>
      <c r="D160">
        <v>18</v>
      </c>
      <c r="E160">
        <v>1618</v>
      </c>
      <c r="F160" t="str">
        <f>IF(Estadisticas_jugador[[#This Row],[minutes_played]]&gt;900, "Si", "No")</f>
        <v>Si</v>
      </c>
      <c r="G160">
        <v>4</v>
      </c>
      <c r="H160">
        <v>2</v>
      </c>
      <c r="I160">
        <v>2.0686</v>
      </c>
      <c r="J160">
        <v>2.38882087</v>
      </c>
      <c r="K160">
        <v>6.9791666666666998</v>
      </c>
      <c r="L160">
        <v>26</v>
      </c>
      <c r="M160">
        <v>16</v>
      </c>
      <c r="N160">
        <v>2</v>
      </c>
      <c r="O160">
        <v>1</v>
      </c>
      <c r="P160">
        <v>29</v>
      </c>
      <c r="Q160">
        <v>9</v>
      </c>
      <c r="R160">
        <f>Estadisticas_jugador[[#This Row],[tackles]]+Estadisticas_jugador[[#This Row],[interceptions]]</f>
        <v>38</v>
      </c>
      <c r="S160">
        <v>0</v>
      </c>
    </row>
    <row r="161" spans="1:19" x14ac:dyDescent="0.3">
      <c r="A161" t="s">
        <v>709</v>
      </c>
      <c r="B161" t="s">
        <v>7</v>
      </c>
      <c r="C161">
        <v>29</v>
      </c>
      <c r="D161">
        <v>21</v>
      </c>
      <c r="E161">
        <v>1698</v>
      </c>
      <c r="F161" t="str">
        <f>IF(Estadisticas_jugador[[#This Row],[minutes_played]]&gt;900, "Si", "No")</f>
        <v>Si</v>
      </c>
      <c r="G161">
        <v>8</v>
      </c>
      <c r="H161">
        <v>4</v>
      </c>
      <c r="I161">
        <v>3.1909000000000001</v>
      </c>
      <c r="J161">
        <v>2.4486847100000002</v>
      </c>
      <c r="K161">
        <v>6.9</v>
      </c>
      <c r="L161">
        <v>39</v>
      </c>
      <c r="M161">
        <v>17</v>
      </c>
      <c r="N161">
        <v>2</v>
      </c>
      <c r="O161">
        <v>0</v>
      </c>
      <c r="P161">
        <v>24</v>
      </c>
      <c r="Q161">
        <v>3</v>
      </c>
      <c r="R161">
        <f>Estadisticas_jugador[[#This Row],[tackles]]+Estadisticas_jugador[[#This Row],[interceptions]]</f>
        <v>27</v>
      </c>
      <c r="S161">
        <v>0</v>
      </c>
    </row>
    <row r="162" spans="1:19" x14ac:dyDescent="0.3">
      <c r="A162" t="s">
        <v>710</v>
      </c>
      <c r="B162" t="s">
        <v>7</v>
      </c>
      <c r="C162">
        <v>25</v>
      </c>
      <c r="D162">
        <v>18</v>
      </c>
      <c r="E162">
        <v>1479</v>
      </c>
      <c r="F162" t="str">
        <f>IF(Estadisticas_jugador[[#This Row],[minutes_played]]&gt;900, "Si", "No")</f>
        <v>Si</v>
      </c>
      <c r="G162">
        <v>5</v>
      </c>
      <c r="H162">
        <v>2</v>
      </c>
      <c r="I162">
        <v>3.5596000000000001</v>
      </c>
      <c r="J162">
        <v>2.5093528599999999</v>
      </c>
      <c r="K162">
        <v>6.9240000000000004</v>
      </c>
      <c r="L162">
        <v>30</v>
      </c>
      <c r="M162">
        <v>14</v>
      </c>
      <c r="N162">
        <v>5</v>
      </c>
      <c r="O162">
        <v>1</v>
      </c>
      <c r="P162">
        <v>28</v>
      </c>
      <c r="Q162">
        <v>5</v>
      </c>
      <c r="R162">
        <f>Estadisticas_jugador[[#This Row],[tackles]]+Estadisticas_jugador[[#This Row],[interceptions]]</f>
        <v>33</v>
      </c>
      <c r="S162">
        <v>0</v>
      </c>
    </row>
    <row r="163" spans="1:19" x14ac:dyDescent="0.3">
      <c r="A163" t="s">
        <v>711</v>
      </c>
      <c r="B163" t="s">
        <v>7</v>
      </c>
      <c r="C163">
        <v>19</v>
      </c>
      <c r="D163">
        <v>10</v>
      </c>
      <c r="E163">
        <v>858</v>
      </c>
      <c r="F163" t="str">
        <f>IF(Estadisticas_jugador[[#This Row],[minutes_played]]&gt;900, "Si", "No")</f>
        <v>No</v>
      </c>
      <c r="G163">
        <v>0</v>
      </c>
      <c r="H163">
        <v>3</v>
      </c>
      <c r="I163">
        <v>0.62380000000000002</v>
      </c>
      <c r="J163">
        <v>0.47214871000000003</v>
      </c>
      <c r="K163">
        <v>6.8631578947368004</v>
      </c>
      <c r="L163">
        <v>15</v>
      </c>
      <c r="M163">
        <v>5</v>
      </c>
      <c r="N163">
        <v>5</v>
      </c>
      <c r="O163">
        <v>0</v>
      </c>
      <c r="P163">
        <v>33</v>
      </c>
      <c r="Q163">
        <v>5</v>
      </c>
      <c r="R163">
        <f>Estadisticas_jugador[[#This Row],[tackles]]+Estadisticas_jugador[[#This Row],[interceptions]]</f>
        <v>38</v>
      </c>
      <c r="S163">
        <v>0</v>
      </c>
    </row>
    <row r="164" spans="1:19" x14ac:dyDescent="0.3">
      <c r="A164" t="s">
        <v>712</v>
      </c>
      <c r="B164" t="s">
        <v>7</v>
      </c>
      <c r="C164">
        <v>25</v>
      </c>
      <c r="D164">
        <v>22</v>
      </c>
      <c r="E164">
        <v>1912</v>
      </c>
      <c r="F164" t="str">
        <f>IF(Estadisticas_jugador[[#This Row],[minutes_played]]&gt;900, "Si", "No")</f>
        <v>Si</v>
      </c>
      <c r="G164">
        <v>1</v>
      </c>
      <c r="H164">
        <v>3</v>
      </c>
      <c r="I164">
        <v>0.70279999999999998</v>
      </c>
      <c r="J164">
        <v>0.50148623999999997</v>
      </c>
      <c r="K164">
        <v>6.7720000000000002</v>
      </c>
      <c r="L164">
        <v>11</v>
      </c>
      <c r="M164">
        <v>1</v>
      </c>
      <c r="N164">
        <v>6</v>
      </c>
      <c r="O164">
        <v>0</v>
      </c>
      <c r="P164">
        <v>39</v>
      </c>
      <c r="Q164">
        <v>32</v>
      </c>
      <c r="R164">
        <f>Estadisticas_jugador[[#This Row],[tackles]]+Estadisticas_jugador[[#This Row],[interceptions]]</f>
        <v>71</v>
      </c>
      <c r="S164">
        <v>0</v>
      </c>
    </row>
    <row r="165" spans="1:19" x14ac:dyDescent="0.3">
      <c r="A165" t="s">
        <v>713</v>
      </c>
      <c r="B165" t="s">
        <v>7</v>
      </c>
      <c r="C165">
        <v>25</v>
      </c>
      <c r="D165">
        <v>12</v>
      </c>
      <c r="E165">
        <v>1114</v>
      </c>
      <c r="F165" t="str">
        <f>IF(Estadisticas_jugador[[#This Row],[minutes_played]]&gt;900, "Si", "No")</f>
        <v>Si</v>
      </c>
      <c r="G165">
        <v>0</v>
      </c>
      <c r="H165">
        <v>0</v>
      </c>
      <c r="I165">
        <v>1.1523000000000001</v>
      </c>
      <c r="J165">
        <v>0.59575330999999998</v>
      </c>
      <c r="K165">
        <v>6.4119999999999999</v>
      </c>
      <c r="L165">
        <v>12</v>
      </c>
      <c r="M165">
        <v>4</v>
      </c>
      <c r="N165">
        <v>1</v>
      </c>
      <c r="O165">
        <v>0</v>
      </c>
      <c r="P165">
        <v>14</v>
      </c>
      <c r="Q165">
        <v>5</v>
      </c>
      <c r="R165">
        <f>Estadisticas_jugador[[#This Row],[tackles]]+Estadisticas_jugador[[#This Row],[interceptions]]</f>
        <v>19</v>
      </c>
      <c r="S165">
        <v>0</v>
      </c>
    </row>
    <row r="166" spans="1:19" x14ac:dyDescent="0.3">
      <c r="A166" t="s">
        <v>714</v>
      </c>
      <c r="B166" t="s">
        <v>7</v>
      </c>
      <c r="C166">
        <v>27</v>
      </c>
      <c r="D166">
        <v>25</v>
      </c>
      <c r="E166">
        <v>2211</v>
      </c>
      <c r="F166" t="str">
        <f>IF(Estadisticas_jugador[[#This Row],[minutes_played]]&gt;900, "Si", "No")</f>
        <v>Si</v>
      </c>
      <c r="G166">
        <v>1</v>
      </c>
      <c r="H166">
        <v>0</v>
      </c>
      <c r="I166">
        <v>1.6271</v>
      </c>
      <c r="J166">
        <v>0.55318539</v>
      </c>
      <c r="K166">
        <v>6.6407407407407</v>
      </c>
      <c r="L166">
        <v>16</v>
      </c>
      <c r="M166">
        <v>5</v>
      </c>
      <c r="N166">
        <v>9</v>
      </c>
      <c r="O166">
        <v>0</v>
      </c>
      <c r="P166">
        <v>86</v>
      </c>
      <c r="Q166">
        <v>37</v>
      </c>
      <c r="R166">
        <f>Estadisticas_jugador[[#This Row],[tackles]]+Estadisticas_jugador[[#This Row],[interceptions]]</f>
        <v>123</v>
      </c>
      <c r="S166">
        <v>0</v>
      </c>
    </row>
    <row r="167" spans="1:19" x14ac:dyDescent="0.3">
      <c r="A167" t="s">
        <v>715</v>
      </c>
      <c r="B167" t="s">
        <v>7</v>
      </c>
      <c r="C167">
        <v>20</v>
      </c>
      <c r="D167">
        <v>17</v>
      </c>
      <c r="E167">
        <v>1543</v>
      </c>
      <c r="F167" t="str">
        <f>IF(Estadisticas_jugador[[#This Row],[minutes_played]]&gt;900, "Si", "No")</f>
        <v>Si</v>
      </c>
      <c r="G167">
        <v>1</v>
      </c>
      <c r="H167">
        <v>0</v>
      </c>
      <c r="I167">
        <v>1.0236000000000001</v>
      </c>
      <c r="J167">
        <v>0.55322738999999999</v>
      </c>
      <c r="K167">
        <v>6.8449999999999998</v>
      </c>
      <c r="L167">
        <v>10</v>
      </c>
      <c r="M167">
        <v>2</v>
      </c>
      <c r="N167">
        <v>4</v>
      </c>
      <c r="O167">
        <v>1</v>
      </c>
      <c r="P167">
        <v>16</v>
      </c>
      <c r="Q167">
        <v>21</v>
      </c>
      <c r="R167">
        <f>Estadisticas_jugador[[#This Row],[tackles]]+Estadisticas_jugador[[#This Row],[interceptions]]</f>
        <v>37</v>
      </c>
      <c r="S167">
        <v>0</v>
      </c>
    </row>
    <row r="168" spans="1:19" x14ac:dyDescent="0.3">
      <c r="A168" t="s">
        <v>716</v>
      </c>
      <c r="B168" t="s">
        <v>7</v>
      </c>
      <c r="C168">
        <v>5</v>
      </c>
      <c r="D168">
        <v>2</v>
      </c>
      <c r="E168">
        <v>202</v>
      </c>
      <c r="F168" t="str">
        <f>IF(Estadisticas_jugador[[#This Row],[minutes_played]]&gt;900, "Si", "No")</f>
        <v>No</v>
      </c>
      <c r="G168">
        <v>1</v>
      </c>
      <c r="H168">
        <v>0</v>
      </c>
      <c r="I168">
        <v>0.51539999999999997</v>
      </c>
      <c r="J168">
        <v>0.3547884</v>
      </c>
      <c r="K168">
        <v>7.05</v>
      </c>
      <c r="L168">
        <v>1</v>
      </c>
      <c r="M168">
        <v>1</v>
      </c>
      <c r="N168">
        <v>0</v>
      </c>
      <c r="O168">
        <v>0</v>
      </c>
      <c r="P168">
        <v>5</v>
      </c>
      <c r="Q168">
        <v>1</v>
      </c>
      <c r="R168">
        <f>Estadisticas_jugador[[#This Row],[tackles]]+Estadisticas_jugador[[#This Row],[interceptions]]</f>
        <v>6</v>
      </c>
      <c r="S168">
        <v>0</v>
      </c>
    </row>
    <row r="169" spans="1:19" x14ac:dyDescent="0.3">
      <c r="A169" t="s">
        <v>717</v>
      </c>
      <c r="B169" t="s">
        <v>7</v>
      </c>
      <c r="C169">
        <v>18</v>
      </c>
      <c r="D169">
        <v>18</v>
      </c>
      <c r="E169">
        <v>1620</v>
      </c>
      <c r="F169" t="str">
        <f>IF(Estadisticas_jugador[[#This Row],[minutes_played]]&gt;900, "Si", "No")</f>
        <v>Si</v>
      </c>
      <c r="G169">
        <v>0</v>
      </c>
      <c r="H169">
        <v>0</v>
      </c>
      <c r="I169">
        <v>1.0298</v>
      </c>
      <c r="J169">
        <v>0.14562812999999999</v>
      </c>
      <c r="K169">
        <v>6.7777777777777999</v>
      </c>
      <c r="L169">
        <v>11</v>
      </c>
      <c r="M169">
        <v>3</v>
      </c>
      <c r="N169">
        <v>4</v>
      </c>
      <c r="O169">
        <v>0</v>
      </c>
      <c r="P169">
        <v>22</v>
      </c>
      <c r="Q169">
        <v>27</v>
      </c>
      <c r="R169">
        <f>Estadisticas_jugador[[#This Row],[tackles]]+Estadisticas_jugador[[#This Row],[interceptions]]</f>
        <v>49</v>
      </c>
      <c r="S169">
        <v>0</v>
      </c>
    </row>
    <row r="170" spans="1:19" x14ac:dyDescent="0.3">
      <c r="A170" t="s">
        <v>718</v>
      </c>
      <c r="B170" t="s">
        <v>7</v>
      </c>
      <c r="C170">
        <v>22</v>
      </c>
      <c r="D170">
        <v>21</v>
      </c>
      <c r="E170">
        <v>1899</v>
      </c>
      <c r="F170" t="str">
        <f>IF(Estadisticas_jugador[[#This Row],[minutes_played]]&gt;900, "Si", "No")</f>
        <v>Si</v>
      </c>
      <c r="G170">
        <v>0</v>
      </c>
      <c r="H170">
        <v>1</v>
      </c>
      <c r="I170">
        <v>0.2626</v>
      </c>
      <c r="J170">
        <v>0.42176355999999998</v>
      </c>
      <c r="K170">
        <v>6.6227272727272997</v>
      </c>
      <c r="L170">
        <v>6</v>
      </c>
      <c r="M170">
        <v>1</v>
      </c>
      <c r="N170">
        <v>8</v>
      </c>
      <c r="O170">
        <v>0</v>
      </c>
      <c r="P170">
        <v>32</v>
      </c>
      <c r="Q170">
        <v>21</v>
      </c>
      <c r="R170">
        <f>Estadisticas_jugador[[#This Row],[tackles]]+Estadisticas_jugador[[#This Row],[interceptions]]</f>
        <v>53</v>
      </c>
      <c r="S170">
        <v>0</v>
      </c>
    </row>
    <row r="171" spans="1:19" x14ac:dyDescent="0.3">
      <c r="A171" t="s">
        <v>719</v>
      </c>
      <c r="B171" t="s">
        <v>7</v>
      </c>
      <c r="C171">
        <v>16</v>
      </c>
      <c r="D171">
        <v>7</v>
      </c>
      <c r="E171">
        <v>700</v>
      </c>
      <c r="F171" t="str">
        <f>IF(Estadisticas_jugador[[#This Row],[minutes_played]]&gt;900, "Si", "No")</f>
        <v>No</v>
      </c>
      <c r="G171">
        <v>0</v>
      </c>
      <c r="H171">
        <v>0</v>
      </c>
      <c r="I171">
        <v>0.43630000000000002</v>
      </c>
      <c r="J171">
        <v>0.44043966000000001</v>
      </c>
      <c r="K171">
        <v>6.5125000000000002</v>
      </c>
      <c r="L171">
        <v>5</v>
      </c>
      <c r="M171">
        <v>1</v>
      </c>
      <c r="N171">
        <v>1</v>
      </c>
      <c r="O171">
        <v>0</v>
      </c>
      <c r="P171">
        <v>25</v>
      </c>
      <c r="Q171">
        <v>5</v>
      </c>
      <c r="R171">
        <f>Estadisticas_jugador[[#This Row],[tackles]]+Estadisticas_jugador[[#This Row],[interceptions]]</f>
        <v>30</v>
      </c>
      <c r="S171">
        <v>0</v>
      </c>
    </row>
    <row r="172" spans="1:19" x14ac:dyDescent="0.3">
      <c r="A172" t="s">
        <v>720</v>
      </c>
      <c r="B172" t="s">
        <v>7</v>
      </c>
      <c r="C172">
        <v>10</v>
      </c>
      <c r="D172">
        <v>4</v>
      </c>
      <c r="E172">
        <v>399</v>
      </c>
      <c r="F172" t="str">
        <f>IF(Estadisticas_jugador[[#This Row],[minutes_played]]&gt;900, "Si", "No")</f>
        <v>No</v>
      </c>
      <c r="G172">
        <v>0</v>
      </c>
      <c r="H172">
        <v>0</v>
      </c>
      <c r="I172">
        <v>0.33110000000000001</v>
      </c>
      <c r="J172">
        <v>4.2857079999999999E-2</v>
      </c>
      <c r="K172">
        <v>6.5333333333333004</v>
      </c>
      <c r="L172">
        <v>3</v>
      </c>
      <c r="M172">
        <v>2</v>
      </c>
      <c r="N172">
        <v>0</v>
      </c>
      <c r="O172">
        <v>0</v>
      </c>
      <c r="P172">
        <v>8</v>
      </c>
      <c r="Q172">
        <v>6</v>
      </c>
      <c r="R172">
        <f>Estadisticas_jugador[[#This Row],[tackles]]+Estadisticas_jugador[[#This Row],[interceptions]]</f>
        <v>14</v>
      </c>
      <c r="S172">
        <v>0</v>
      </c>
    </row>
    <row r="173" spans="1:19" x14ac:dyDescent="0.3">
      <c r="A173" t="s">
        <v>721</v>
      </c>
      <c r="B173" t="s">
        <v>7</v>
      </c>
      <c r="C173">
        <v>29</v>
      </c>
      <c r="D173">
        <v>29</v>
      </c>
      <c r="E173">
        <v>2610</v>
      </c>
      <c r="F173" t="str">
        <f>IF(Estadisticas_jugador[[#This Row],[minutes_played]]&gt;900, "Si", "No")</f>
        <v>Si</v>
      </c>
      <c r="G173">
        <v>0</v>
      </c>
      <c r="H173">
        <v>0</v>
      </c>
      <c r="J173">
        <v>6.7992410000000003E-2</v>
      </c>
      <c r="K173">
        <v>6.9379310344827996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1</v>
      </c>
      <c r="R173">
        <f>Estadisticas_jugador[[#This Row],[tackles]]+Estadisticas_jugador[[#This Row],[interceptions]]</f>
        <v>2</v>
      </c>
      <c r="S173">
        <v>75</v>
      </c>
    </row>
    <row r="174" spans="1:19" x14ac:dyDescent="0.3">
      <c r="A174" t="s">
        <v>722</v>
      </c>
      <c r="B174" t="s">
        <v>7</v>
      </c>
      <c r="C174">
        <v>10</v>
      </c>
      <c r="D174">
        <v>10</v>
      </c>
      <c r="E174">
        <v>884</v>
      </c>
      <c r="F174" t="str">
        <f>IF(Estadisticas_jugador[[#This Row],[minutes_played]]&gt;900, "Si", "No")</f>
        <v>No</v>
      </c>
      <c r="G174">
        <v>3</v>
      </c>
      <c r="H174">
        <v>0</v>
      </c>
      <c r="I174">
        <v>1.3547</v>
      </c>
      <c r="J174">
        <v>0.37709872</v>
      </c>
      <c r="K174">
        <v>6.82</v>
      </c>
      <c r="L174">
        <v>18</v>
      </c>
      <c r="M174">
        <v>9</v>
      </c>
      <c r="N174">
        <v>4</v>
      </c>
      <c r="O174">
        <v>0</v>
      </c>
      <c r="P174">
        <v>14</v>
      </c>
      <c r="Q174">
        <v>7</v>
      </c>
      <c r="R174">
        <f>Estadisticas_jugador[[#This Row],[tackles]]+Estadisticas_jugador[[#This Row],[interceptions]]</f>
        <v>21</v>
      </c>
      <c r="S174">
        <v>0</v>
      </c>
    </row>
    <row r="175" spans="1:19" x14ac:dyDescent="0.3">
      <c r="A175" t="s">
        <v>723</v>
      </c>
      <c r="B175" t="s">
        <v>7</v>
      </c>
      <c r="C175">
        <v>14</v>
      </c>
      <c r="D175">
        <v>12</v>
      </c>
      <c r="E175">
        <v>1044</v>
      </c>
      <c r="F175" t="str">
        <f>IF(Estadisticas_jugador[[#This Row],[minutes_played]]&gt;900, "Si", "No")</f>
        <v>Si</v>
      </c>
      <c r="G175">
        <v>4</v>
      </c>
      <c r="H175">
        <v>1</v>
      </c>
      <c r="I175">
        <v>2.9228999999999998</v>
      </c>
      <c r="J175">
        <v>0.23747716999999999</v>
      </c>
      <c r="K175">
        <v>6.6714285714286001</v>
      </c>
      <c r="L175">
        <v>14</v>
      </c>
      <c r="M175">
        <v>7</v>
      </c>
      <c r="N175">
        <v>0</v>
      </c>
      <c r="O175">
        <v>0</v>
      </c>
      <c r="P175">
        <v>5</v>
      </c>
      <c r="Q175">
        <v>5</v>
      </c>
      <c r="R175">
        <f>Estadisticas_jugador[[#This Row],[tackles]]+Estadisticas_jugador[[#This Row],[interceptions]]</f>
        <v>10</v>
      </c>
      <c r="S175">
        <v>0</v>
      </c>
    </row>
    <row r="176" spans="1:19" x14ac:dyDescent="0.3">
      <c r="A176" t="s">
        <v>724</v>
      </c>
      <c r="B176" t="s">
        <v>7</v>
      </c>
      <c r="C176">
        <v>9</v>
      </c>
      <c r="D176">
        <v>9</v>
      </c>
      <c r="E176">
        <v>717</v>
      </c>
      <c r="F176" t="str">
        <f>IF(Estadisticas_jugador[[#This Row],[minutes_played]]&gt;900, "Si", "No")</f>
        <v>No</v>
      </c>
      <c r="G176">
        <v>2</v>
      </c>
      <c r="H176">
        <v>0</v>
      </c>
      <c r="I176">
        <v>0.59040000000000004</v>
      </c>
      <c r="J176">
        <v>0.20978590999999999</v>
      </c>
      <c r="K176">
        <v>6.6888888888888998</v>
      </c>
      <c r="L176">
        <v>11</v>
      </c>
      <c r="M176">
        <v>5</v>
      </c>
      <c r="N176">
        <v>0</v>
      </c>
      <c r="O176">
        <v>0</v>
      </c>
      <c r="P176">
        <v>4</v>
      </c>
      <c r="Q176">
        <v>3</v>
      </c>
      <c r="R176">
        <f>Estadisticas_jugador[[#This Row],[tackles]]+Estadisticas_jugador[[#This Row],[interceptions]]</f>
        <v>7</v>
      </c>
      <c r="S176">
        <v>0</v>
      </c>
    </row>
    <row r="177" spans="1:19" x14ac:dyDescent="0.3">
      <c r="A177" t="s">
        <v>725</v>
      </c>
      <c r="B177" t="s">
        <v>7</v>
      </c>
      <c r="C177">
        <v>2</v>
      </c>
      <c r="D177">
        <v>0</v>
      </c>
      <c r="E177">
        <v>59</v>
      </c>
      <c r="F177" t="str">
        <f>IF(Estadisticas_jugador[[#This Row],[minutes_played]]&gt;900, "Si", "No")</f>
        <v>No</v>
      </c>
      <c r="G177">
        <v>0</v>
      </c>
      <c r="H177">
        <v>0</v>
      </c>
      <c r="I177">
        <v>9.5299999999999996E-2</v>
      </c>
      <c r="J177">
        <v>7.1784299999999995E-2</v>
      </c>
      <c r="K177">
        <v>6.6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1</v>
      </c>
      <c r="R177">
        <f>Estadisticas_jugador[[#This Row],[tackles]]+Estadisticas_jugador[[#This Row],[interceptions]]</f>
        <v>1</v>
      </c>
      <c r="S177">
        <v>0</v>
      </c>
    </row>
    <row r="178" spans="1:19" x14ac:dyDescent="0.3">
      <c r="A178" t="s">
        <v>726</v>
      </c>
      <c r="B178" t="s">
        <v>7</v>
      </c>
      <c r="C178">
        <v>23</v>
      </c>
      <c r="D178">
        <v>17</v>
      </c>
      <c r="E178">
        <v>1435</v>
      </c>
      <c r="F178" t="str">
        <f>IF(Estadisticas_jugador[[#This Row],[minutes_played]]&gt;900, "Si", "No")</f>
        <v>Si</v>
      </c>
      <c r="G178">
        <v>3</v>
      </c>
      <c r="H178">
        <v>0</v>
      </c>
      <c r="I178">
        <v>1.9455</v>
      </c>
      <c r="J178">
        <v>0.29376869999999999</v>
      </c>
      <c r="K178">
        <v>6.5260869565217003</v>
      </c>
      <c r="L178">
        <v>23</v>
      </c>
      <c r="M178">
        <v>9</v>
      </c>
      <c r="N178">
        <v>3</v>
      </c>
      <c r="O178">
        <v>1</v>
      </c>
      <c r="P178">
        <v>21</v>
      </c>
      <c r="Q178">
        <v>3</v>
      </c>
      <c r="R178">
        <f>Estadisticas_jugador[[#This Row],[tackles]]+Estadisticas_jugador[[#This Row],[interceptions]]</f>
        <v>24</v>
      </c>
      <c r="S178">
        <v>0</v>
      </c>
    </row>
    <row r="179" spans="1:19" x14ac:dyDescent="0.3">
      <c r="A179" t="s">
        <v>727</v>
      </c>
      <c r="B179" t="s">
        <v>7</v>
      </c>
      <c r="C179">
        <v>8</v>
      </c>
      <c r="D179">
        <v>0</v>
      </c>
      <c r="E179">
        <v>176</v>
      </c>
      <c r="F179" t="str">
        <f>IF(Estadisticas_jugador[[#This Row],[minutes_played]]&gt;900, "Si", "No")</f>
        <v>No</v>
      </c>
      <c r="G179">
        <v>1</v>
      </c>
      <c r="H179">
        <v>0</v>
      </c>
      <c r="I179">
        <v>0.14829999999999999</v>
      </c>
      <c r="J179">
        <v>0.10740251000000001</v>
      </c>
      <c r="K179">
        <v>6.5750000000000002</v>
      </c>
      <c r="L179">
        <v>2</v>
      </c>
      <c r="M179">
        <v>1</v>
      </c>
      <c r="N179">
        <v>0</v>
      </c>
      <c r="O179">
        <v>0</v>
      </c>
      <c r="P179">
        <v>2</v>
      </c>
      <c r="Q179">
        <v>0</v>
      </c>
      <c r="R179">
        <f>Estadisticas_jugador[[#This Row],[tackles]]+Estadisticas_jugador[[#This Row],[interceptions]]</f>
        <v>2</v>
      </c>
      <c r="S179">
        <v>0</v>
      </c>
    </row>
    <row r="180" spans="1:19" x14ac:dyDescent="0.3">
      <c r="A180" t="s">
        <v>728</v>
      </c>
      <c r="B180" t="s">
        <v>7</v>
      </c>
      <c r="C180">
        <v>27</v>
      </c>
      <c r="D180">
        <v>20</v>
      </c>
      <c r="E180">
        <v>1609</v>
      </c>
      <c r="F180" t="str">
        <f>IF(Estadisticas_jugador[[#This Row],[minutes_played]]&gt;900, "Si", "No")</f>
        <v>Si</v>
      </c>
      <c r="G180">
        <v>2</v>
      </c>
      <c r="H180">
        <v>0</v>
      </c>
      <c r="I180">
        <v>1.6022000000000001</v>
      </c>
      <c r="J180">
        <v>0.51700776999999998</v>
      </c>
      <c r="K180">
        <v>6.4888888888888996</v>
      </c>
      <c r="L180">
        <v>23</v>
      </c>
      <c r="M180">
        <v>5</v>
      </c>
      <c r="N180">
        <v>9</v>
      </c>
      <c r="O180">
        <v>0</v>
      </c>
      <c r="P180">
        <v>47</v>
      </c>
      <c r="Q180">
        <v>11</v>
      </c>
      <c r="R180">
        <f>Estadisticas_jugador[[#This Row],[tackles]]+Estadisticas_jugador[[#This Row],[interceptions]]</f>
        <v>58</v>
      </c>
      <c r="S180">
        <v>0</v>
      </c>
    </row>
    <row r="181" spans="1:19" x14ac:dyDescent="0.3">
      <c r="A181" t="s">
        <v>729</v>
      </c>
      <c r="B181" t="s">
        <v>7</v>
      </c>
      <c r="C181">
        <v>28</v>
      </c>
      <c r="D181">
        <v>28</v>
      </c>
      <c r="E181">
        <v>2474</v>
      </c>
      <c r="F181" t="str">
        <f>IF(Estadisticas_jugador[[#This Row],[minutes_played]]&gt;900, "Si", "No")</f>
        <v>Si</v>
      </c>
      <c r="G181">
        <v>0</v>
      </c>
      <c r="H181">
        <v>9</v>
      </c>
      <c r="I181">
        <v>1.0349999999999999</v>
      </c>
      <c r="J181">
        <v>4.7009768999999997</v>
      </c>
      <c r="K181">
        <v>7.0321428571429001</v>
      </c>
      <c r="L181">
        <v>19</v>
      </c>
      <c r="M181">
        <v>2</v>
      </c>
      <c r="N181">
        <v>3</v>
      </c>
      <c r="O181">
        <v>1</v>
      </c>
      <c r="P181">
        <v>44</v>
      </c>
      <c r="Q181">
        <v>28</v>
      </c>
      <c r="R181">
        <f>Estadisticas_jugador[[#This Row],[tackles]]+Estadisticas_jugador[[#This Row],[interceptions]]</f>
        <v>72</v>
      </c>
      <c r="S181">
        <v>0</v>
      </c>
    </row>
    <row r="182" spans="1:19" x14ac:dyDescent="0.3">
      <c r="A182" t="s">
        <v>730</v>
      </c>
      <c r="B182" t="s">
        <v>7</v>
      </c>
      <c r="C182">
        <v>29</v>
      </c>
      <c r="D182">
        <v>29</v>
      </c>
      <c r="E182">
        <v>2544</v>
      </c>
      <c r="F182" t="str">
        <f>IF(Estadisticas_jugador[[#This Row],[minutes_played]]&gt;900, "Si", "No")</f>
        <v>Si</v>
      </c>
      <c r="G182">
        <v>6</v>
      </c>
      <c r="H182">
        <v>2</v>
      </c>
      <c r="I182">
        <v>5.7237999999999998</v>
      </c>
      <c r="J182">
        <v>0.57001908999999995</v>
      </c>
      <c r="K182">
        <v>6.7827586206896999</v>
      </c>
      <c r="L182">
        <v>49</v>
      </c>
      <c r="M182">
        <v>17</v>
      </c>
      <c r="N182">
        <v>4</v>
      </c>
      <c r="O182">
        <v>0</v>
      </c>
      <c r="P182">
        <v>57</v>
      </c>
      <c r="Q182">
        <v>19</v>
      </c>
      <c r="R182">
        <f>Estadisticas_jugador[[#This Row],[tackles]]+Estadisticas_jugador[[#This Row],[interceptions]]</f>
        <v>76</v>
      </c>
      <c r="S182">
        <v>0</v>
      </c>
    </row>
    <row r="183" spans="1:19" x14ac:dyDescent="0.3">
      <c r="A183" t="s">
        <v>731</v>
      </c>
      <c r="B183" t="s">
        <v>7</v>
      </c>
      <c r="C183">
        <v>9</v>
      </c>
      <c r="D183">
        <v>1</v>
      </c>
      <c r="E183">
        <v>198</v>
      </c>
      <c r="F183" t="str">
        <f>IF(Estadisticas_jugador[[#This Row],[minutes_played]]&gt;900, "Si", "No")</f>
        <v>No</v>
      </c>
      <c r="G183">
        <v>0</v>
      </c>
      <c r="H183">
        <v>0</v>
      </c>
      <c r="I183">
        <v>0.33210000000000001</v>
      </c>
      <c r="J183">
        <v>5.1267269999999997E-2</v>
      </c>
      <c r="K183">
        <v>6.4375</v>
      </c>
      <c r="L183">
        <v>3</v>
      </c>
      <c r="M183">
        <v>1</v>
      </c>
      <c r="N183">
        <v>1</v>
      </c>
      <c r="O183">
        <v>0</v>
      </c>
      <c r="P183">
        <v>4</v>
      </c>
      <c r="Q183">
        <v>2</v>
      </c>
      <c r="R183">
        <f>Estadisticas_jugador[[#This Row],[tackles]]+Estadisticas_jugador[[#This Row],[interceptions]]</f>
        <v>6</v>
      </c>
      <c r="S183">
        <v>0</v>
      </c>
    </row>
    <row r="184" spans="1:19" x14ac:dyDescent="0.3">
      <c r="A184" t="s">
        <v>732</v>
      </c>
      <c r="B184" t="s">
        <v>7</v>
      </c>
      <c r="C184">
        <v>14</v>
      </c>
      <c r="D184">
        <v>4</v>
      </c>
      <c r="E184">
        <v>501</v>
      </c>
      <c r="F184" t="str">
        <f>IF(Estadisticas_jugador[[#This Row],[minutes_played]]&gt;900, "Si", "No")</f>
        <v>No</v>
      </c>
      <c r="G184">
        <v>0</v>
      </c>
      <c r="H184">
        <v>0</v>
      </c>
      <c r="I184">
        <v>0.34160000000000001</v>
      </c>
      <c r="J184">
        <v>0.78099784000000005</v>
      </c>
      <c r="K184">
        <v>6.5461538461537998</v>
      </c>
      <c r="L184">
        <v>12</v>
      </c>
      <c r="M184">
        <v>6</v>
      </c>
      <c r="N184">
        <v>0</v>
      </c>
      <c r="O184">
        <v>0</v>
      </c>
      <c r="P184">
        <v>7</v>
      </c>
      <c r="Q184">
        <v>4</v>
      </c>
      <c r="R184">
        <f>Estadisticas_jugador[[#This Row],[tackles]]+Estadisticas_jugador[[#This Row],[interceptions]]</f>
        <v>11</v>
      </c>
      <c r="S184">
        <v>0</v>
      </c>
    </row>
    <row r="185" spans="1:19" x14ac:dyDescent="0.3">
      <c r="A185" t="s">
        <v>733</v>
      </c>
      <c r="B185" t="s">
        <v>7</v>
      </c>
      <c r="C185">
        <v>15</v>
      </c>
      <c r="D185">
        <v>5</v>
      </c>
      <c r="E185">
        <v>634</v>
      </c>
      <c r="F185" t="str">
        <f>IF(Estadisticas_jugador[[#This Row],[minutes_played]]&gt;900, "Si", "No")</f>
        <v>No</v>
      </c>
      <c r="G185">
        <v>0</v>
      </c>
      <c r="H185">
        <v>1</v>
      </c>
      <c r="I185">
        <v>0.33360000000000001</v>
      </c>
      <c r="J185">
        <v>0.95098724999999995</v>
      </c>
      <c r="K185">
        <v>6.45</v>
      </c>
      <c r="L185">
        <v>11</v>
      </c>
      <c r="M185">
        <v>4</v>
      </c>
      <c r="N185">
        <v>1</v>
      </c>
      <c r="O185">
        <v>1</v>
      </c>
      <c r="P185">
        <v>9</v>
      </c>
      <c r="Q185">
        <v>2</v>
      </c>
      <c r="R185">
        <f>Estadisticas_jugador[[#This Row],[tackles]]+Estadisticas_jugador[[#This Row],[interceptions]]</f>
        <v>11</v>
      </c>
      <c r="S185">
        <v>0</v>
      </c>
    </row>
    <row r="186" spans="1:19" x14ac:dyDescent="0.3">
      <c r="A186" t="s">
        <v>734</v>
      </c>
      <c r="B186" t="s">
        <v>7</v>
      </c>
      <c r="C186">
        <v>16</v>
      </c>
      <c r="D186">
        <v>12</v>
      </c>
      <c r="E186">
        <v>1005</v>
      </c>
      <c r="F186" t="str">
        <f>IF(Estadisticas_jugador[[#This Row],[minutes_played]]&gt;900, "Si", "No")</f>
        <v>Si</v>
      </c>
      <c r="G186">
        <v>0</v>
      </c>
      <c r="H186">
        <v>2</v>
      </c>
      <c r="I186">
        <v>0.30259999999999998</v>
      </c>
      <c r="J186">
        <v>0.37163864000000002</v>
      </c>
      <c r="K186">
        <v>6.7133333333333001</v>
      </c>
      <c r="L186">
        <v>7</v>
      </c>
      <c r="M186">
        <v>1</v>
      </c>
      <c r="N186">
        <v>7</v>
      </c>
      <c r="O186">
        <v>1</v>
      </c>
      <c r="P186">
        <v>30</v>
      </c>
      <c r="Q186">
        <v>15</v>
      </c>
      <c r="R186">
        <f>Estadisticas_jugador[[#This Row],[tackles]]+Estadisticas_jugador[[#This Row],[interceptions]]</f>
        <v>45</v>
      </c>
      <c r="S186">
        <v>0</v>
      </c>
    </row>
    <row r="187" spans="1:19" x14ac:dyDescent="0.3">
      <c r="A187" t="s">
        <v>735</v>
      </c>
      <c r="B187" t="s">
        <v>7</v>
      </c>
      <c r="C187">
        <v>27</v>
      </c>
      <c r="D187">
        <v>25</v>
      </c>
      <c r="E187">
        <v>2050</v>
      </c>
      <c r="F187" t="str">
        <f>IF(Estadisticas_jugador[[#This Row],[minutes_played]]&gt;900, "Si", "No")</f>
        <v>Si</v>
      </c>
      <c r="G187">
        <v>0</v>
      </c>
      <c r="H187">
        <v>0</v>
      </c>
      <c r="I187">
        <v>0.13189999999999999</v>
      </c>
      <c r="J187">
        <v>0.16050428</v>
      </c>
      <c r="K187">
        <v>6.6185185185185</v>
      </c>
      <c r="L187">
        <v>4</v>
      </c>
      <c r="M187">
        <v>0</v>
      </c>
      <c r="N187">
        <v>7</v>
      </c>
      <c r="O187">
        <v>1</v>
      </c>
      <c r="P187">
        <v>30</v>
      </c>
      <c r="Q187">
        <v>24</v>
      </c>
      <c r="R187">
        <f>Estadisticas_jugador[[#This Row],[tackles]]+Estadisticas_jugador[[#This Row],[interceptions]]</f>
        <v>54</v>
      </c>
      <c r="S187">
        <v>0</v>
      </c>
    </row>
    <row r="188" spans="1:19" x14ac:dyDescent="0.3">
      <c r="A188" t="s">
        <v>736</v>
      </c>
      <c r="B188" t="s">
        <v>7</v>
      </c>
      <c r="C188">
        <v>4</v>
      </c>
      <c r="D188">
        <v>1</v>
      </c>
      <c r="E188">
        <v>120</v>
      </c>
      <c r="F188" t="str">
        <f>IF(Estadisticas_jugador[[#This Row],[minutes_played]]&gt;900, "Si", "No")</f>
        <v>No</v>
      </c>
      <c r="G188">
        <v>0</v>
      </c>
      <c r="H188">
        <v>1</v>
      </c>
      <c r="I188">
        <v>1.6299999999999999E-2</v>
      </c>
      <c r="J188">
        <v>6.4270600000000001E-3</v>
      </c>
      <c r="K188">
        <v>6.6333333333333</v>
      </c>
      <c r="L188">
        <v>1</v>
      </c>
      <c r="M188">
        <v>0</v>
      </c>
      <c r="N188">
        <v>2</v>
      </c>
      <c r="O188">
        <v>0</v>
      </c>
      <c r="P188">
        <v>6</v>
      </c>
      <c r="Q188">
        <v>2</v>
      </c>
      <c r="R188">
        <f>Estadisticas_jugador[[#This Row],[tackles]]+Estadisticas_jugador[[#This Row],[interceptions]]</f>
        <v>8</v>
      </c>
      <c r="S188">
        <v>0</v>
      </c>
    </row>
    <row r="189" spans="1:19" x14ac:dyDescent="0.3">
      <c r="A189" t="s">
        <v>737</v>
      </c>
      <c r="B189" t="s">
        <v>7</v>
      </c>
      <c r="C189">
        <v>6</v>
      </c>
      <c r="D189">
        <v>1</v>
      </c>
      <c r="E189">
        <v>151</v>
      </c>
      <c r="F189" t="str">
        <f>IF(Estadisticas_jugador[[#This Row],[minutes_played]]&gt;900, "Si", "No")</f>
        <v>No</v>
      </c>
      <c r="G189">
        <v>0</v>
      </c>
      <c r="H189">
        <v>0</v>
      </c>
      <c r="I189">
        <v>0.26960000000000001</v>
      </c>
      <c r="J189">
        <v>3.39668E-3</v>
      </c>
      <c r="K189">
        <v>6.6</v>
      </c>
      <c r="L189">
        <v>2</v>
      </c>
      <c r="M189">
        <v>1</v>
      </c>
      <c r="N189">
        <v>1</v>
      </c>
      <c r="O189">
        <v>0</v>
      </c>
      <c r="P189">
        <v>7</v>
      </c>
      <c r="Q189">
        <v>0</v>
      </c>
      <c r="R189">
        <f>Estadisticas_jugador[[#This Row],[tackles]]+Estadisticas_jugador[[#This Row],[interceptions]]</f>
        <v>7</v>
      </c>
      <c r="S189">
        <v>0</v>
      </c>
    </row>
    <row r="190" spans="1:19" x14ac:dyDescent="0.3">
      <c r="A190" t="s">
        <v>738</v>
      </c>
      <c r="B190" t="s">
        <v>7</v>
      </c>
      <c r="C190">
        <v>9</v>
      </c>
      <c r="D190">
        <v>9</v>
      </c>
      <c r="E190">
        <v>810</v>
      </c>
      <c r="F190" t="str">
        <f>IF(Estadisticas_jugador[[#This Row],[minutes_played]]&gt;900, "Si", "No")</f>
        <v>No</v>
      </c>
      <c r="G190">
        <v>0</v>
      </c>
      <c r="H190">
        <v>0</v>
      </c>
      <c r="I190">
        <v>0.3453</v>
      </c>
      <c r="J190">
        <v>5.1413710000000001E-2</v>
      </c>
      <c r="K190">
        <v>6.8111111111111002</v>
      </c>
      <c r="L190">
        <v>5</v>
      </c>
      <c r="M190">
        <v>0</v>
      </c>
      <c r="N190">
        <v>3</v>
      </c>
      <c r="O190">
        <v>0</v>
      </c>
      <c r="P190">
        <v>18</v>
      </c>
      <c r="Q190">
        <v>21</v>
      </c>
      <c r="R190">
        <f>Estadisticas_jugador[[#This Row],[tackles]]+Estadisticas_jugador[[#This Row],[interceptions]]</f>
        <v>39</v>
      </c>
      <c r="S190">
        <v>0</v>
      </c>
    </row>
    <row r="191" spans="1:19" x14ac:dyDescent="0.3">
      <c r="A191" t="s">
        <v>739</v>
      </c>
      <c r="B191" t="s">
        <v>7</v>
      </c>
      <c r="C191">
        <v>25</v>
      </c>
      <c r="D191">
        <v>18</v>
      </c>
      <c r="E191">
        <v>1704</v>
      </c>
      <c r="F191" t="str">
        <f>IF(Estadisticas_jugador[[#This Row],[minutes_played]]&gt;900, "Si", "No")</f>
        <v>Si</v>
      </c>
      <c r="G191">
        <v>0</v>
      </c>
      <c r="H191">
        <v>0</v>
      </c>
      <c r="I191">
        <v>0.32550000000000001</v>
      </c>
      <c r="J191">
        <v>0.94080238999999999</v>
      </c>
      <c r="K191">
        <v>6.6291666666667002</v>
      </c>
      <c r="L191">
        <v>11</v>
      </c>
      <c r="M191">
        <v>1</v>
      </c>
      <c r="N191">
        <v>4</v>
      </c>
      <c r="O191">
        <v>0</v>
      </c>
      <c r="P191">
        <v>46</v>
      </c>
      <c r="Q191">
        <v>29</v>
      </c>
      <c r="R191">
        <f>Estadisticas_jugador[[#This Row],[tackles]]+Estadisticas_jugador[[#This Row],[interceptions]]</f>
        <v>75</v>
      </c>
      <c r="S191">
        <v>0</v>
      </c>
    </row>
    <row r="192" spans="1:19" x14ac:dyDescent="0.3">
      <c r="A192" t="s">
        <v>740</v>
      </c>
      <c r="B192" t="s">
        <v>7</v>
      </c>
      <c r="C192">
        <v>11</v>
      </c>
      <c r="D192">
        <v>4</v>
      </c>
      <c r="E192">
        <v>289</v>
      </c>
      <c r="F192" t="str">
        <f>IF(Estadisticas_jugador[[#This Row],[minutes_played]]&gt;900, "Si", "No")</f>
        <v>No</v>
      </c>
      <c r="G192">
        <v>0</v>
      </c>
      <c r="H192">
        <v>0</v>
      </c>
      <c r="I192">
        <v>0.17580000000000001</v>
      </c>
      <c r="J192">
        <v>0.11346185</v>
      </c>
      <c r="K192">
        <v>6.3714285714286003</v>
      </c>
      <c r="L192">
        <v>3</v>
      </c>
      <c r="M192">
        <v>1</v>
      </c>
      <c r="N192">
        <v>5</v>
      </c>
      <c r="O192">
        <v>1</v>
      </c>
      <c r="P192">
        <v>6</v>
      </c>
      <c r="Q192">
        <v>1</v>
      </c>
      <c r="R192">
        <f>Estadisticas_jugador[[#This Row],[tackles]]+Estadisticas_jugador[[#This Row],[interceptions]]</f>
        <v>7</v>
      </c>
      <c r="S192">
        <v>0</v>
      </c>
    </row>
    <row r="193" spans="1:19" x14ac:dyDescent="0.3">
      <c r="A193" t="s">
        <v>741</v>
      </c>
      <c r="B193" t="s">
        <v>7</v>
      </c>
      <c r="C193">
        <v>26</v>
      </c>
      <c r="D193">
        <v>26</v>
      </c>
      <c r="E193">
        <v>2226</v>
      </c>
      <c r="F193" t="str">
        <f>IF(Estadisticas_jugador[[#This Row],[minutes_played]]&gt;900, "Si", "No")</f>
        <v>Si</v>
      </c>
      <c r="G193">
        <v>1</v>
      </c>
      <c r="H193">
        <v>1</v>
      </c>
      <c r="I193">
        <v>0.82689999999999997</v>
      </c>
      <c r="J193">
        <v>0.17194881000000001</v>
      </c>
      <c r="K193">
        <v>6.6384615384614998</v>
      </c>
      <c r="L193">
        <v>12</v>
      </c>
      <c r="M193">
        <v>4</v>
      </c>
      <c r="N193">
        <v>9</v>
      </c>
      <c r="O193">
        <v>0</v>
      </c>
      <c r="P193">
        <v>22</v>
      </c>
      <c r="Q193">
        <v>24</v>
      </c>
      <c r="R193">
        <f>Estadisticas_jugador[[#This Row],[tackles]]+Estadisticas_jugador[[#This Row],[interceptions]]</f>
        <v>46</v>
      </c>
      <c r="S193">
        <v>0</v>
      </c>
    </row>
    <row r="194" spans="1:19" x14ac:dyDescent="0.3">
      <c r="A194" t="s">
        <v>742</v>
      </c>
      <c r="B194" t="s">
        <v>7</v>
      </c>
      <c r="C194">
        <v>28</v>
      </c>
      <c r="D194">
        <v>27</v>
      </c>
      <c r="E194">
        <v>2383</v>
      </c>
      <c r="F194" t="str">
        <f>IF(Estadisticas_jugador[[#This Row],[minutes_played]]&gt;900, "Si", "No")</f>
        <v>Si</v>
      </c>
      <c r="G194">
        <v>1</v>
      </c>
      <c r="H194">
        <v>2</v>
      </c>
      <c r="I194">
        <v>0.9607</v>
      </c>
      <c r="J194">
        <v>1.43276918</v>
      </c>
      <c r="K194">
        <v>6.8535714285714002</v>
      </c>
      <c r="L194">
        <v>21</v>
      </c>
      <c r="M194">
        <v>4</v>
      </c>
      <c r="N194">
        <v>3</v>
      </c>
      <c r="O194">
        <v>0</v>
      </c>
      <c r="P194">
        <v>94</v>
      </c>
      <c r="Q194">
        <v>17</v>
      </c>
      <c r="R194">
        <f>Estadisticas_jugador[[#This Row],[tackles]]+Estadisticas_jugador[[#This Row],[interceptions]]</f>
        <v>111</v>
      </c>
      <c r="S194">
        <v>0</v>
      </c>
    </row>
    <row r="195" spans="1:19" x14ac:dyDescent="0.3">
      <c r="A195" t="s">
        <v>743</v>
      </c>
      <c r="B195" t="s">
        <v>7</v>
      </c>
      <c r="C195">
        <v>24</v>
      </c>
      <c r="D195">
        <v>22</v>
      </c>
      <c r="E195">
        <v>1764</v>
      </c>
      <c r="F195" t="str">
        <f>IF(Estadisticas_jugador[[#This Row],[minutes_played]]&gt;900, "Si", "No")</f>
        <v>Si</v>
      </c>
      <c r="G195">
        <v>1</v>
      </c>
      <c r="H195">
        <v>1</v>
      </c>
      <c r="I195">
        <v>0.68600000000000005</v>
      </c>
      <c r="J195">
        <v>1.17052717</v>
      </c>
      <c r="K195">
        <v>6.5791666666667004</v>
      </c>
      <c r="L195">
        <v>8</v>
      </c>
      <c r="M195">
        <v>3</v>
      </c>
      <c r="N195">
        <v>5</v>
      </c>
      <c r="O195">
        <v>0</v>
      </c>
      <c r="P195">
        <v>35</v>
      </c>
      <c r="Q195">
        <v>31</v>
      </c>
      <c r="R195">
        <f>Estadisticas_jugador[[#This Row],[tackles]]+Estadisticas_jugador[[#This Row],[interceptions]]</f>
        <v>66</v>
      </c>
      <c r="S195">
        <v>0</v>
      </c>
    </row>
    <row r="196" spans="1:19" x14ac:dyDescent="0.3">
      <c r="A196" t="s">
        <v>744</v>
      </c>
      <c r="B196" t="s">
        <v>7</v>
      </c>
      <c r="C196">
        <v>7</v>
      </c>
      <c r="D196">
        <v>4</v>
      </c>
      <c r="E196">
        <v>429</v>
      </c>
      <c r="F196" t="str">
        <f>IF(Estadisticas_jugador[[#This Row],[minutes_played]]&gt;900, "Si", "No")</f>
        <v>No</v>
      </c>
      <c r="G196">
        <v>0</v>
      </c>
      <c r="H196">
        <v>0</v>
      </c>
      <c r="I196">
        <v>0.21360000000000001</v>
      </c>
      <c r="J196">
        <v>0.45940776999999999</v>
      </c>
      <c r="K196">
        <v>6.4857142857143</v>
      </c>
      <c r="L196">
        <v>3</v>
      </c>
      <c r="M196">
        <v>1</v>
      </c>
      <c r="N196">
        <v>1</v>
      </c>
      <c r="O196">
        <v>0</v>
      </c>
      <c r="P196">
        <v>14</v>
      </c>
      <c r="Q196">
        <v>3</v>
      </c>
      <c r="R196">
        <f>Estadisticas_jugador[[#This Row],[tackles]]+Estadisticas_jugador[[#This Row],[interceptions]]</f>
        <v>17</v>
      </c>
      <c r="S196">
        <v>0</v>
      </c>
    </row>
    <row r="197" spans="1:19" x14ac:dyDescent="0.3">
      <c r="A197" t="s">
        <v>745</v>
      </c>
      <c r="B197" t="s">
        <v>7</v>
      </c>
      <c r="C197">
        <v>1</v>
      </c>
      <c r="D197">
        <v>0</v>
      </c>
      <c r="E197">
        <v>26</v>
      </c>
      <c r="F197" t="str">
        <f>IF(Estadisticas_jugador[[#This Row],[minutes_played]]&gt;900, "Si", "No")</f>
        <v>No</v>
      </c>
      <c r="G197">
        <v>0</v>
      </c>
      <c r="H197">
        <v>0</v>
      </c>
      <c r="J197">
        <v>4.8518099999999998E-3</v>
      </c>
      <c r="K197">
        <v>6.4</v>
      </c>
      <c r="L197">
        <v>0</v>
      </c>
      <c r="M197">
        <v>0</v>
      </c>
      <c r="N197">
        <v>0</v>
      </c>
      <c r="O197">
        <v>0</v>
      </c>
      <c r="P197">
        <v>3</v>
      </c>
      <c r="Q197">
        <v>0</v>
      </c>
      <c r="R197">
        <f>Estadisticas_jugador[[#This Row],[tackles]]+Estadisticas_jugador[[#This Row],[interceptions]]</f>
        <v>3</v>
      </c>
      <c r="S197">
        <v>0</v>
      </c>
    </row>
    <row r="198" spans="1:19" x14ac:dyDescent="0.3">
      <c r="A198" t="s">
        <v>746</v>
      </c>
      <c r="B198" t="s">
        <v>7</v>
      </c>
      <c r="C198">
        <v>29</v>
      </c>
      <c r="D198">
        <v>29</v>
      </c>
      <c r="E198">
        <v>2610</v>
      </c>
      <c r="F198" t="str">
        <f>IF(Estadisticas_jugador[[#This Row],[minutes_played]]&gt;900, "Si", "No")</f>
        <v>Si</v>
      </c>
      <c r="G198">
        <v>0</v>
      </c>
      <c r="H198">
        <v>0</v>
      </c>
      <c r="J198">
        <v>8.9073879999999994E-2</v>
      </c>
      <c r="K198">
        <v>7.2551724137931002</v>
      </c>
      <c r="L198">
        <v>0</v>
      </c>
      <c r="M198">
        <v>0</v>
      </c>
      <c r="N198">
        <v>2</v>
      </c>
      <c r="O198">
        <v>0</v>
      </c>
      <c r="P198">
        <v>0</v>
      </c>
      <c r="Q198">
        <v>0</v>
      </c>
      <c r="R198">
        <f>Estadisticas_jugador[[#This Row],[tackles]]+Estadisticas_jugador[[#This Row],[interceptions]]</f>
        <v>0</v>
      </c>
      <c r="S198">
        <v>94</v>
      </c>
    </row>
    <row r="199" spans="1:19" x14ac:dyDescent="0.3">
      <c r="A199" t="s">
        <v>747</v>
      </c>
      <c r="B199" t="s">
        <v>7</v>
      </c>
      <c r="C199">
        <v>8</v>
      </c>
      <c r="D199">
        <v>2</v>
      </c>
      <c r="E199">
        <v>254</v>
      </c>
      <c r="F199" t="str">
        <f>IF(Estadisticas_jugador[[#This Row],[minutes_played]]&gt;900, "Si", "No")</f>
        <v>No</v>
      </c>
      <c r="G199">
        <v>1</v>
      </c>
      <c r="H199">
        <v>0</v>
      </c>
      <c r="I199">
        <v>1.0247999999999999</v>
      </c>
      <c r="J199">
        <v>0.1159028</v>
      </c>
      <c r="K199">
        <v>6.5125000000000002</v>
      </c>
      <c r="L199">
        <v>7</v>
      </c>
      <c r="M199">
        <v>4</v>
      </c>
      <c r="N199">
        <v>1</v>
      </c>
      <c r="O199">
        <v>0</v>
      </c>
      <c r="P199">
        <v>0</v>
      </c>
      <c r="Q199">
        <v>1</v>
      </c>
      <c r="R199">
        <f>Estadisticas_jugador[[#This Row],[tackles]]+Estadisticas_jugador[[#This Row],[interceptions]]</f>
        <v>1</v>
      </c>
      <c r="S199">
        <v>0</v>
      </c>
    </row>
    <row r="200" spans="1:19" x14ac:dyDescent="0.3">
      <c r="A200" t="s">
        <v>748</v>
      </c>
      <c r="B200" t="s">
        <v>7</v>
      </c>
      <c r="C200">
        <v>26</v>
      </c>
      <c r="D200">
        <v>20</v>
      </c>
      <c r="E200">
        <v>1693</v>
      </c>
      <c r="F200" t="str">
        <f>IF(Estadisticas_jugador[[#This Row],[minutes_played]]&gt;900, "Si", "No")</f>
        <v>Si</v>
      </c>
      <c r="G200">
        <v>6</v>
      </c>
      <c r="H200">
        <v>1</v>
      </c>
      <c r="I200">
        <v>8.2767999999999997</v>
      </c>
      <c r="J200">
        <v>1.3608875199999999</v>
      </c>
      <c r="K200">
        <v>6.5115384615384997</v>
      </c>
      <c r="L200">
        <v>60</v>
      </c>
      <c r="M200">
        <v>23</v>
      </c>
      <c r="N200">
        <v>2</v>
      </c>
      <c r="O200">
        <v>1</v>
      </c>
      <c r="P200">
        <v>12</v>
      </c>
      <c r="Q200">
        <v>7</v>
      </c>
      <c r="R200">
        <f>Estadisticas_jugador[[#This Row],[tackles]]+Estadisticas_jugador[[#This Row],[interceptions]]</f>
        <v>19</v>
      </c>
      <c r="S200">
        <v>0</v>
      </c>
    </row>
    <row r="201" spans="1:19" x14ac:dyDescent="0.3">
      <c r="A201" t="s">
        <v>749</v>
      </c>
      <c r="B201" t="s">
        <v>7</v>
      </c>
      <c r="C201">
        <v>11</v>
      </c>
      <c r="D201">
        <v>1</v>
      </c>
      <c r="E201">
        <v>162</v>
      </c>
      <c r="F201" t="str">
        <f>IF(Estadisticas_jugador[[#This Row],[minutes_played]]&gt;900, "Si", "No")</f>
        <v>No</v>
      </c>
      <c r="G201">
        <v>0</v>
      </c>
      <c r="H201">
        <v>0</v>
      </c>
      <c r="I201">
        <v>0.81489999999999996</v>
      </c>
      <c r="J201">
        <v>0.30136815</v>
      </c>
      <c r="K201">
        <v>6.47</v>
      </c>
      <c r="L201">
        <v>8</v>
      </c>
      <c r="M201">
        <v>4</v>
      </c>
      <c r="N201">
        <v>2</v>
      </c>
      <c r="O201">
        <v>0</v>
      </c>
      <c r="P201">
        <v>2</v>
      </c>
      <c r="Q201">
        <v>0</v>
      </c>
      <c r="R201">
        <f>Estadisticas_jugador[[#This Row],[tackles]]+Estadisticas_jugador[[#This Row],[interceptions]]</f>
        <v>2</v>
      </c>
      <c r="S201">
        <v>0</v>
      </c>
    </row>
    <row r="202" spans="1:19" x14ac:dyDescent="0.3">
      <c r="A202" t="s">
        <v>750</v>
      </c>
      <c r="B202" t="s">
        <v>7</v>
      </c>
      <c r="C202">
        <v>19</v>
      </c>
      <c r="D202">
        <v>15</v>
      </c>
      <c r="E202">
        <v>1316</v>
      </c>
      <c r="F202" t="str">
        <f>IF(Estadisticas_jugador[[#This Row],[minutes_played]]&gt;900, "Si", "No")</f>
        <v>Si</v>
      </c>
      <c r="G202">
        <v>4</v>
      </c>
      <c r="H202">
        <v>2</v>
      </c>
      <c r="I202">
        <v>4.5019999999999998</v>
      </c>
      <c r="J202">
        <v>4.3342863899999999</v>
      </c>
      <c r="K202">
        <v>6.9631578947368</v>
      </c>
      <c r="L202">
        <v>37</v>
      </c>
      <c r="M202">
        <v>13</v>
      </c>
      <c r="N202">
        <v>1</v>
      </c>
      <c r="O202">
        <v>0</v>
      </c>
      <c r="P202">
        <v>12</v>
      </c>
      <c r="Q202">
        <v>6</v>
      </c>
      <c r="R202">
        <f>Estadisticas_jugador[[#This Row],[tackles]]+Estadisticas_jugador[[#This Row],[interceptions]]</f>
        <v>18</v>
      </c>
      <c r="S202">
        <v>0</v>
      </c>
    </row>
    <row r="203" spans="1:19" x14ac:dyDescent="0.3">
      <c r="A203" t="s">
        <v>751</v>
      </c>
      <c r="B203" t="s">
        <v>7</v>
      </c>
      <c r="C203">
        <v>21</v>
      </c>
      <c r="D203">
        <v>17</v>
      </c>
      <c r="E203">
        <v>1498</v>
      </c>
      <c r="F203" t="str">
        <f>IF(Estadisticas_jugador[[#This Row],[minutes_played]]&gt;900, "Si", "No")</f>
        <v>Si</v>
      </c>
      <c r="G203">
        <v>2</v>
      </c>
      <c r="H203">
        <v>4</v>
      </c>
      <c r="I203">
        <v>4.5979999999999999</v>
      </c>
      <c r="J203">
        <v>1.8901817599999999</v>
      </c>
      <c r="K203">
        <v>6.6190476190476</v>
      </c>
      <c r="L203">
        <v>45</v>
      </c>
      <c r="M203">
        <v>15</v>
      </c>
      <c r="N203">
        <v>1</v>
      </c>
      <c r="O203">
        <v>0</v>
      </c>
      <c r="P203">
        <v>8</v>
      </c>
      <c r="Q203">
        <v>4</v>
      </c>
      <c r="R203">
        <f>Estadisticas_jugador[[#This Row],[tackles]]+Estadisticas_jugador[[#This Row],[interceptions]]</f>
        <v>12</v>
      </c>
      <c r="S203">
        <v>0</v>
      </c>
    </row>
    <row r="204" spans="1:19" x14ac:dyDescent="0.3">
      <c r="A204" t="s">
        <v>752</v>
      </c>
      <c r="B204" t="s">
        <v>7</v>
      </c>
      <c r="C204">
        <v>22</v>
      </c>
      <c r="D204">
        <v>19</v>
      </c>
      <c r="E204">
        <v>1504</v>
      </c>
      <c r="F204" t="str">
        <f>IF(Estadisticas_jugador[[#This Row],[minutes_played]]&gt;900, "Si", "No")</f>
        <v>Si</v>
      </c>
      <c r="G204">
        <v>3</v>
      </c>
      <c r="H204">
        <v>0</v>
      </c>
      <c r="I204">
        <v>6.0941000000000001</v>
      </c>
      <c r="J204">
        <v>1.3309380799999999</v>
      </c>
      <c r="K204">
        <v>6.5045454545455001</v>
      </c>
      <c r="L204">
        <v>42</v>
      </c>
      <c r="M204">
        <v>14</v>
      </c>
      <c r="N204">
        <v>4</v>
      </c>
      <c r="O204">
        <v>1</v>
      </c>
      <c r="P204">
        <v>13</v>
      </c>
      <c r="Q204">
        <v>3</v>
      </c>
      <c r="R204">
        <f>Estadisticas_jugador[[#This Row],[tackles]]+Estadisticas_jugador[[#This Row],[interceptions]]</f>
        <v>16</v>
      </c>
      <c r="S204">
        <v>0</v>
      </c>
    </row>
    <row r="205" spans="1:19" x14ac:dyDescent="0.3">
      <c r="A205" t="s">
        <v>753</v>
      </c>
      <c r="B205" t="s">
        <v>7</v>
      </c>
      <c r="C205">
        <v>24</v>
      </c>
      <c r="D205">
        <v>21</v>
      </c>
      <c r="E205">
        <v>1768</v>
      </c>
      <c r="F205" t="str">
        <f>IF(Estadisticas_jugador[[#This Row],[minutes_played]]&gt;900, "Si", "No")</f>
        <v>Si</v>
      </c>
      <c r="G205">
        <v>2</v>
      </c>
      <c r="H205">
        <v>3</v>
      </c>
      <c r="I205">
        <v>3.5045000000000002</v>
      </c>
      <c r="J205">
        <v>5.0407970200000003</v>
      </c>
      <c r="K205">
        <v>6.6791666666667</v>
      </c>
      <c r="L205">
        <v>37</v>
      </c>
      <c r="M205">
        <v>19</v>
      </c>
      <c r="N205">
        <v>4</v>
      </c>
      <c r="O205">
        <v>0</v>
      </c>
      <c r="P205">
        <v>21</v>
      </c>
      <c r="Q205">
        <v>11</v>
      </c>
      <c r="R205">
        <f>Estadisticas_jugador[[#This Row],[tackles]]+Estadisticas_jugador[[#This Row],[interceptions]]</f>
        <v>32</v>
      </c>
      <c r="S205">
        <v>0</v>
      </c>
    </row>
    <row r="206" spans="1:19" x14ac:dyDescent="0.3">
      <c r="A206" t="s">
        <v>754</v>
      </c>
      <c r="B206" t="s">
        <v>7</v>
      </c>
      <c r="C206">
        <v>28</v>
      </c>
      <c r="D206">
        <v>27</v>
      </c>
      <c r="E206">
        <v>2281</v>
      </c>
      <c r="F206" t="str">
        <f>IF(Estadisticas_jugador[[#This Row],[minutes_played]]&gt;900, "Si", "No")</f>
        <v>Si</v>
      </c>
      <c r="G206">
        <v>2</v>
      </c>
      <c r="H206">
        <v>0</v>
      </c>
      <c r="I206">
        <v>1.4141999999999999</v>
      </c>
      <c r="J206">
        <v>1.9685213699999999</v>
      </c>
      <c r="K206">
        <v>6.8285714285713999</v>
      </c>
      <c r="L206">
        <v>31</v>
      </c>
      <c r="M206">
        <v>8</v>
      </c>
      <c r="N206">
        <v>3</v>
      </c>
      <c r="O206">
        <v>0</v>
      </c>
      <c r="P206">
        <v>57</v>
      </c>
      <c r="Q206">
        <v>40</v>
      </c>
      <c r="R206">
        <f>Estadisticas_jugador[[#This Row],[tackles]]+Estadisticas_jugador[[#This Row],[interceptions]]</f>
        <v>97</v>
      </c>
      <c r="S206">
        <v>0</v>
      </c>
    </row>
    <row r="207" spans="1:19" x14ac:dyDescent="0.3">
      <c r="A207" t="s">
        <v>755</v>
      </c>
      <c r="B207" t="s">
        <v>7</v>
      </c>
      <c r="C207">
        <v>26</v>
      </c>
      <c r="D207">
        <v>24</v>
      </c>
      <c r="E207">
        <v>1727</v>
      </c>
      <c r="F207" t="str">
        <f>IF(Estadisticas_jugador[[#This Row],[minutes_played]]&gt;900, "Si", "No")</f>
        <v>Si</v>
      </c>
      <c r="G207">
        <v>1</v>
      </c>
      <c r="H207">
        <v>1</v>
      </c>
      <c r="I207">
        <v>0.62150000000000005</v>
      </c>
      <c r="J207">
        <v>2.1851829700000001</v>
      </c>
      <c r="K207">
        <v>7.0115384615384997</v>
      </c>
      <c r="L207">
        <v>16</v>
      </c>
      <c r="M207">
        <v>2</v>
      </c>
      <c r="N207">
        <v>9</v>
      </c>
      <c r="O207">
        <v>0</v>
      </c>
      <c r="P207">
        <v>49</v>
      </c>
      <c r="Q207">
        <v>14</v>
      </c>
      <c r="R207">
        <f>Estadisticas_jugador[[#This Row],[tackles]]+Estadisticas_jugador[[#This Row],[interceptions]]</f>
        <v>63</v>
      </c>
      <c r="S207">
        <v>0</v>
      </c>
    </row>
    <row r="208" spans="1:19" x14ac:dyDescent="0.3">
      <c r="A208" t="s">
        <v>756</v>
      </c>
      <c r="B208" t="s">
        <v>7</v>
      </c>
      <c r="C208">
        <v>24</v>
      </c>
      <c r="D208">
        <v>7</v>
      </c>
      <c r="E208">
        <v>902</v>
      </c>
      <c r="F208" t="str">
        <f>IF(Estadisticas_jugador[[#This Row],[minutes_played]]&gt;900, "Si", "No")</f>
        <v>Si</v>
      </c>
      <c r="G208">
        <v>5</v>
      </c>
      <c r="H208">
        <v>1</v>
      </c>
      <c r="I208">
        <v>3.4670000000000001</v>
      </c>
      <c r="J208">
        <v>1.35934573</v>
      </c>
      <c r="K208">
        <v>6.6583333333333004</v>
      </c>
      <c r="L208">
        <v>14</v>
      </c>
      <c r="M208">
        <v>7</v>
      </c>
      <c r="N208">
        <v>1</v>
      </c>
      <c r="O208">
        <v>0</v>
      </c>
      <c r="P208">
        <v>10</v>
      </c>
      <c r="Q208">
        <v>6</v>
      </c>
      <c r="R208">
        <f>Estadisticas_jugador[[#This Row],[tackles]]+Estadisticas_jugador[[#This Row],[interceptions]]</f>
        <v>16</v>
      </c>
      <c r="S208">
        <v>0</v>
      </c>
    </row>
    <row r="209" spans="1:19" x14ac:dyDescent="0.3">
      <c r="A209" t="s">
        <v>757</v>
      </c>
      <c r="B209" t="s">
        <v>7</v>
      </c>
      <c r="C209">
        <v>20</v>
      </c>
      <c r="D209">
        <v>7</v>
      </c>
      <c r="E209">
        <v>638</v>
      </c>
      <c r="F209" t="str">
        <f>IF(Estadisticas_jugador[[#This Row],[minutes_played]]&gt;900, "Si", "No")</f>
        <v>No</v>
      </c>
      <c r="G209">
        <v>1</v>
      </c>
      <c r="H209">
        <v>1</v>
      </c>
      <c r="I209">
        <v>1.536</v>
      </c>
      <c r="J209">
        <v>0.92708707999999995</v>
      </c>
      <c r="K209">
        <v>6.5421052631579002</v>
      </c>
      <c r="L209">
        <v>14</v>
      </c>
      <c r="M209">
        <v>3</v>
      </c>
      <c r="N209">
        <v>1</v>
      </c>
      <c r="O209">
        <v>0</v>
      </c>
      <c r="P209">
        <v>10</v>
      </c>
      <c r="Q209">
        <v>0</v>
      </c>
      <c r="R209">
        <f>Estadisticas_jugador[[#This Row],[tackles]]+Estadisticas_jugador[[#This Row],[interceptions]]</f>
        <v>10</v>
      </c>
      <c r="S209">
        <v>0</v>
      </c>
    </row>
    <row r="210" spans="1:19" x14ac:dyDescent="0.3">
      <c r="A210" t="s">
        <v>758</v>
      </c>
      <c r="B210" t="s">
        <v>7</v>
      </c>
      <c r="C210">
        <v>2</v>
      </c>
      <c r="D210">
        <v>1</v>
      </c>
      <c r="E210">
        <v>85</v>
      </c>
      <c r="F210" t="str">
        <f>IF(Estadisticas_jugador[[#This Row],[minutes_played]]&gt;900, "Si", "No")</f>
        <v>No</v>
      </c>
      <c r="G210">
        <v>0</v>
      </c>
      <c r="H210">
        <v>0</v>
      </c>
      <c r="I210">
        <v>2.69E-2</v>
      </c>
      <c r="J210">
        <v>1.3127049999999999E-2</v>
      </c>
      <c r="K210">
        <v>6.55</v>
      </c>
      <c r="L210">
        <v>1</v>
      </c>
      <c r="M210">
        <v>0</v>
      </c>
      <c r="N210">
        <v>1</v>
      </c>
      <c r="O210">
        <v>0</v>
      </c>
      <c r="P210">
        <v>3</v>
      </c>
      <c r="Q210">
        <v>2</v>
      </c>
      <c r="R210">
        <f>Estadisticas_jugador[[#This Row],[tackles]]+Estadisticas_jugador[[#This Row],[interceptions]]</f>
        <v>5</v>
      </c>
      <c r="S210">
        <v>0</v>
      </c>
    </row>
    <row r="211" spans="1:19" x14ac:dyDescent="0.3">
      <c r="A211" t="s">
        <v>759</v>
      </c>
      <c r="B211" t="s">
        <v>7</v>
      </c>
      <c r="C211">
        <v>20</v>
      </c>
      <c r="D211">
        <v>6</v>
      </c>
      <c r="E211">
        <v>782</v>
      </c>
      <c r="F211" t="str">
        <f>IF(Estadisticas_jugador[[#This Row],[minutes_played]]&gt;900, "Si", "No")</f>
        <v>No</v>
      </c>
      <c r="G211">
        <v>1</v>
      </c>
      <c r="H211">
        <v>0</v>
      </c>
      <c r="I211">
        <v>0.38129999999999997</v>
      </c>
      <c r="J211">
        <v>0.31896018999999998</v>
      </c>
      <c r="K211">
        <v>6.69</v>
      </c>
      <c r="L211">
        <v>10</v>
      </c>
      <c r="M211">
        <v>3</v>
      </c>
      <c r="N211">
        <v>5</v>
      </c>
      <c r="O211">
        <v>0</v>
      </c>
      <c r="P211">
        <v>31</v>
      </c>
      <c r="Q211">
        <v>16</v>
      </c>
      <c r="R211">
        <f>Estadisticas_jugador[[#This Row],[tackles]]+Estadisticas_jugador[[#This Row],[interceptions]]</f>
        <v>47</v>
      </c>
      <c r="S211">
        <v>0</v>
      </c>
    </row>
    <row r="212" spans="1:19" x14ac:dyDescent="0.3">
      <c r="A212" t="s">
        <v>760</v>
      </c>
      <c r="B212" t="s">
        <v>7</v>
      </c>
      <c r="C212">
        <v>7</v>
      </c>
      <c r="D212">
        <v>2</v>
      </c>
      <c r="E212">
        <v>199</v>
      </c>
      <c r="F212" t="str">
        <f>IF(Estadisticas_jugador[[#This Row],[minutes_played]]&gt;900, "Si", "No")</f>
        <v>No</v>
      </c>
      <c r="G212">
        <v>0</v>
      </c>
      <c r="H212">
        <v>1</v>
      </c>
      <c r="I212">
        <v>0.26640000000000003</v>
      </c>
      <c r="J212">
        <v>0.16925572999999999</v>
      </c>
      <c r="K212">
        <v>6.4857142857143</v>
      </c>
      <c r="L212">
        <v>4</v>
      </c>
      <c r="M212">
        <v>1</v>
      </c>
      <c r="N212">
        <v>0</v>
      </c>
      <c r="O212">
        <v>0</v>
      </c>
      <c r="P212">
        <v>3</v>
      </c>
      <c r="Q212">
        <v>1</v>
      </c>
      <c r="R212">
        <f>Estadisticas_jugador[[#This Row],[tackles]]+Estadisticas_jugador[[#This Row],[interceptions]]</f>
        <v>4</v>
      </c>
      <c r="S212">
        <v>0</v>
      </c>
    </row>
    <row r="213" spans="1:19" x14ac:dyDescent="0.3">
      <c r="A213" t="s">
        <v>761</v>
      </c>
      <c r="B213" t="s">
        <v>7</v>
      </c>
      <c r="C213">
        <v>19</v>
      </c>
      <c r="D213">
        <v>1</v>
      </c>
      <c r="E213">
        <v>389</v>
      </c>
      <c r="F213" t="str">
        <f>IF(Estadisticas_jugador[[#This Row],[minutes_played]]&gt;900, "Si", "No")</f>
        <v>No</v>
      </c>
      <c r="G213">
        <v>0</v>
      </c>
      <c r="H213">
        <v>0</v>
      </c>
      <c r="I213">
        <v>0.12870000000000001</v>
      </c>
      <c r="J213">
        <v>0.16073506000000001</v>
      </c>
      <c r="K213">
        <v>6.5888888888889001</v>
      </c>
      <c r="L213">
        <v>2</v>
      </c>
      <c r="M213">
        <v>0</v>
      </c>
      <c r="N213">
        <v>0</v>
      </c>
      <c r="O213">
        <v>0</v>
      </c>
      <c r="P213">
        <v>15</v>
      </c>
      <c r="Q213">
        <v>9</v>
      </c>
      <c r="R213">
        <f>Estadisticas_jugador[[#This Row],[tackles]]+Estadisticas_jugador[[#This Row],[interceptions]]</f>
        <v>24</v>
      </c>
      <c r="S213">
        <v>0</v>
      </c>
    </row>
    <row r="214" spans="1:19" x14ac:dyDescent="0.3">
      <c r="A214" t="s">
        <v>762</v>
      </c>
      <c r="B214" t="s">
        <v>7</v>
      </c>
      <c r="C214">
        <v>13</v>
      </c>
      <c r="D214">
        <v>4</v>
      </c>
      <c r="E214">
        <v>337</v>
      </c>
      <c r="F214" t="str">
        <f>IF(Estadisticas_jugador[[#This Row],[minutes_played]]&gt;900, "Si", "No")</f>
        <v>No</v>
      </c>
      <c r="G214">
        <v>1</v>
      </c>
      <c r="H214">
        <v>0</v>
      </c>
      <c r="I214">
        <v>0.57630000000000003</v>
      </c>
      <c r="J214">
        <v>0.70790869000000001</v>
      </c>
      <c r="K214">
        <v>6.6090909090908996</v>
      </c>
      <c r="L214">
        <v>13</v>
      </c>
      <c r="M214">
        <v>2</v>
      </c>
      <c r="N214">
        <v>0</v>
      </c>
      <c r="O214">
        <v>0</v>
      </c>
      <c r="P214">
        <v>5</v>
      </c>
      <c r="Q214">
        <v>2</v>
      </c>
      <c r="R214">
        <f>Estadisticas_jugador[[#This Row],[tackles]]+Estadisticas_jugador[[#This Row],[interceptions]]</f>
        <v>7</v>
      </c>
      <c r="S214">
        <v>0</v>
      </c>
    </row>
    <row r="215" spans="1:19" x14ac:dyDescent="0.3">
      <c r="A215" t="s">
        <v>763</v>
      </c>
      <c r="B215" t="s">
        <v>7</v>
      </c>
      <c r="C215">
        <v>18</v>
      </c>
      <c r="D215">
        <v>17</v>
      </c>
      <c r="E215">
        <v>1490</v>
      </c>
      <c r="F215" t="str">
        <f>IF(Estadisticas_jugador[[#This Row],[minutes_played]]&gt;900, "Si", "No")</f>
        <v>Si</v>
      </c>
      <c r="G215">
        <v>0</v>
      </c>
      <c r="H215">
        <v>1</v>
      </c>
      <c r="I215">
        <v>1.5618000000000001</v>
      </c>
      <c r="J215">
        <v>0.24633989000000001</v>
      </c>
      <c r="K215">
        <v>6.9444444444444002</v>
      </c>
      <c r="L215">
        <v>13</v>
      </c>
      <c r="M215">
        <v>4</v>
      </c>
      <c r="N215">
        <v>2</v>
      </c>
      <c r="O215">
        <v>0</v>
      </c>
      <c r="P215">
        <v>19</v>
      </c>
      <c r="Q215">
        <v>18</v>
      </c>
      <c r="R215">
        <f>Estadisticas_jugador[[#This Row],[tackles]]+Estadisticas_jugador[[#This Row],[interceptions]]</f>
        <v>37</v>
      </c>
      <c r="S215">
        <v>0</v>
      </c>
    </row>
    <row r="216" spans="1:19" x14ac:dyDescent="0.3">
      <c r="A216" t="s">
        <v>764</v>
      </c>
      <c r="B216" t="s">
        <v>7</v>
      </c>
      <c r="C216">
        <v>24</v>
      </c>
      <c r="D216">
        <v>23</v>
      </c>
      <c r="E216">
        <v>2098</v>
      </c>
      <c r="F216" t="str">
        <f>IF(Estadisticas_jugador[[#This Row],[minutes_played]]&gt;900, "Si", "No")</f>
        <v>Si</v>
      </c>
      <c r="G216">
        <v>1</v>
      </c>
      <c r="H216">
        <v>0</v>
      </c>
      <c r="I216">
        <v>1.1387</v>
      </c>
      <c r="J216">
        <v>0.56602288999999995</v>
      </c>
      <c r="K216">
        <v>6.6666666666666998</v>
      </c>
      <c r="L216">
        <v>14</v>
      </c>
      <c r="M216">
        <v>5</v>
      </c>
      <c r="N216">
        <v>8</v>
      </c>
      <c r="O216">
        <v>1</v>
      </c>
      <c r="P216">
        <v>44</v>
      </c>
      <c r="Q216">
        <v>28</v>
      </c>
      <c r="R216">
        <f>Estadisticas_jugador[[#This Row],[tackles]]+Estadisticas_jugador[[#This Row],[interceptions]]</f>
        <v>72</v>
      </c>
      <c r="S216">
        <v>0</v>
      </c>
    </row>
    <row r="217" spans="1:19" x14ac:dyDescent="0.3">
      <c r="A217" t="s">
        <v>765</v>
      </c>
      <c r="B217" t="s">
        <v>7</v>
      </c>
      <c r="C217">
        <v>9</v>
      </c>
      <c r="D217">
        <v>6</v>
      </c>
      <c r="E217">
        <v>593</v>
      </c>
      <c r="F217" t="str">
        <f>IF(Estadisticas_jugador[[#This Row],[minutes_played]]&gt;900, "Si", "No")</f>
        <v>No</v>
      </c>
      <c r="G217">
        <v>0</v>
      </c>
      <c r="H217">
        <v>0</v>
      </c>
      <c r="I217">
        <v>1.8800000000000001E-2</v>
      </c>
      <c r="J217">
        <v>0.36836126000000002</v>
      </c>
      <c r="K217">
        <v>6.3777777777778004</v>
      </c>
      <c r="L217">
        <v>1</v>
      </c>
      <c r="M217">
        <v>0</v>
      </c>
      <c r="N217">
        <v>1</v>
      </c>
      <c r="O217">
        <v>0</v>
      </c>
      <c r="P217">
        <v>12</v>
      </c>
      <c r="Q217">
        <v>13</v>
      </c>
      <c r="R217">
        <f>Estadisticas_jugador[[#This Row],[tackles]]+Estadisticas_jugador[[#This Row],[interceptions]]</f>
        <v>25</v>
      </c>
      <c r="S217">
        <v>0</v>
      </c>
    </row>
    <row r="218" spans="1:19" x14ac:dyDescent="0.3">
      <c r="A218" t="s">
        <v>766</v>
      </c>
      <c r="B218" t="s">
        <v>7</v>
      </c>
      <c r="C218">
        <v>25</v>
      </c>
      <c r="D218">
        <v>24</v>
      </c>
      <c r="E218">
        <v>2115</v>
      </c>
      <c r="F218" t="str">
        <f>IF(Estadisticas_jugador[[#This Row],[minutes_played]]&gt;900, "Si", "No")</f>
        <v>Si</v>
      </c>
      <c r="G218">
        <v>0</v>
      </c>
      <c r="H218">
        <v>3</v>
      </c>
      <c r="I218">
        <v>0.3876</v>
      </c>
      <c r="J218">
        <v>2.5991419499999999</v>
      </c>
      <c r="K218">
        <v>6.9720000000000004</v>
      </c>
      <c r="L218">
        <v>17</v>
      </c>
      <c r="M218">
        <v>4</v>
      </c>
      <c r="N218">
        <v>3</v>
      </c>
      <c r="O218">
        <v>0</v>
      </c>
      <c r="P218">
        <v>34</v>
      </c>
      <c r="Q218">
        <v>30</v>
      </c>
      <c r="R218">
        <f>Estadisticas_jugador[[#This Row],[tackles]]+Estadisticas_jugador[[#This Row],[interceptions]]</f>
        <v>64</v>
      </c>
      <c r="S218">
        <v>0</v>
      </c>
    </row>
    <row r="219" spans="1:19" x14ac:dyDescent="0.3">
      <c r="A219" t="s">
        <v>767</v>
      </c>
      <c r="B219" t="s">
        <v>7</v>
      </c>
      <c r="C219">
        <v>17</v>
      </c>
      <c r="D219">
        <v>16</v>
      </c>
      <c r="E219">
        <v>1449</v>
      </c>
      <c r="F219" t="str">
        <f>IF(Estadisticas_jugador[[#This Row],[minutes_played]]&gt;900, "Si", "No")</f>
        <v>Si</v>
      </c>
      <c r="G219">
        <v>1</v>
      </c>
      <c r="H219">
        <v>0</v>
      </c>
      <c r="I219">
        <v>1.0141</v>
      </c>
      <c r="J219">
        <v>0.51088078999999997</v>
      </c>
      <c r="K219">
        <v>6.7705882352940998</v>
      </c>
      <c r="L219">
        <v>12</v>
      </c>
      <c r="M219">
        <v>3</v>
      </c>
      <c r="N219">
        <v>4</v>
      </c>
      <c r="O219">
        <v>0</v>
      </c>
      <c r="P219">
        <v>21</v>
      </c>
      <c r="Q219">
        <v>26</v>
      </c>
      <c r="R219">
        <f>Estadisticas_jugador[[#This Row],[tackles]]+Estadisticas_jugador[[#This Row],[interceptions]]</f>
        <v>47</v>
      </c>
      <c r="S219">
        <v>0</v>
      </c>
    </row>
    <row r="220" spans="1:19" x14ac:dyDescent="0.3">
      <c r="A220" t="s">
        <v>768</v>
      </c>
      <c r="B220" t="s">
        <v>7</v>
      </c>
      <c r="C220">
        <v>23</v>
      </c>
      <c r="D220">
        <v>13</v>
      </c>
      <c r="E220">
        <v>1399</v>
      </c>
      <c r="F220" t="str">
        <f>IF(Estadisticas_jugador[[#This Row],[minutes_played]]&gt;900, "Si", "No")</f>
        <v>Si</v>
      </c>
      <c r="G220">
        <v>0</v>
      </c>
      <c r="H220">
        <v>1</v>
      </c>
      <c r="I220">
        <v>0.1186</v>
      </c>
      <c r="J220">
        <v>1.2141142899999999</v>
      </c>
      <c r="K220">
        <v>6.7</v>
      </c>
      <c r="L220">
        <v>3</v>
      </c>
      <c r="M220">
        <v>0</v>
      </c>
      <c r="N220">
        <v>3</v>
      </c>
      <c r="O220">
        <v>0</v>
      </c>
      <c r="P220">
        <v>21</v>
      </c>
      <c r="Q220">
        <v>17</v>
      </c>
      <c r="R220">
        <f>Estadisticas_jugador[[#This Row],[tackles]]+Estadisticas_jugador[[#This Row],[interceptions]]</f>
        <v>38</v>
      </c>
      <c r="S220">
        <v>0</v>
      </c>
    </row>
    <row r="221" spans="1:19" x14ac:dyDescent="0.3">
      <c r="A221" t="s">
        <v>769</v>
      </c>
      <c r="B221" t="s">
        <v>7</v>
      </c>
      <c r="C221">
        <v>16</v>
      </c>
      <c r="D221">
        <v>10</v>
      </c>
      <c r="E221">
        <v>817</v>
      </c>
      <c r="F221" t="str">
        <f>IF(Estadisticas_jugador[[#This Row],[minutes_played]]&gt;900, "Si", "No")</f>
        <v>No</v>
      </c>
      <c r="G221">
        <v>0</v>
      </c>
      <c r="H221">
        <v>1</v>
      </c>
      <c r="I221">
        <v>0.24840000000000001</v>
      </c>
      <c r="J221">
        <v>0.71499637000000005</v>
      </c>
      <c r="K221">
        <v>6.59375</v>
      </c>
      <c r="L221">
        <v>5</v>
      </c>
      <c r="M221">
        <v>1</v>
      </c>
      <c r="N221">
        <v>2</v>
      </c>
      <c r="O221">
        <v>0</v>
      </c>
      <c r="P221">
        <v>24</v>
      </c>
      <c r="Q221">
        <v>7</v>
      </c>
      <c r="R221">
        <f>Estadisticas_jugador[[#This Row],[tackles]]+Estadisticas_jugador[[#This Row],[interceptions]]</f>
        <v>31</v>
      </c>
      <c r="S221">
        <v>0</v>
      </c>
    </row>
    <row r="222" spans="1:19" x14ac:dyDescent="0.3">
      <c r="A222" t="s">
        <v>770</v>
      </c>
      <c r="B222" t="s">
        <v>7</v>
      </c>
      <c r="C222">
        <v>9</v>
      </c>
      <c r="D222">
        <v>7</v>
      </c>
      <c r="E222">
        <v>525</v>
      </c>
      <c r="F222" t="str">
        <f>IF(Estadisticas_jugador[[#This Row],[minutes_played]]&gt;900, "Si", "No")</f>
        <v>No</v>
      </c>
      <c r="G222">
        <v>0</v>
      </c>
      <c r="H222">
        <v>0</v>
      </c>
      <c r="I222">
        <v>0.12870000000000001</v>
      </c>
      <c r="J222">
        <v>0.16520549000000001</v>
      </c>
      <c r="K222">
        <v>6.3375000000000004</v>
      </c>
      <c r="L222">
        <v>3</v>
      </c>
      <c r="M222">
        <v>1</v>
      </c>
      <c r="N222">
        <v>2</v>
      </c>
      <c r="O222">
        <v>2</v>
      </c>
      <c r="P222">
        <v>14</v>
      </c>
      <c r="Q222">
        <v>3</v>
      </c>
      <c r="R222">
        <f>Estadisticas_jugador[[#This Row],[tackles]]+Estadisticas_jugador[[#This Row],[interceptions]]</f>
        <v>17</v>
      </c>
      <c r="S222">
        <v>0</v>
      </c>
    </row>
    <row r="223" spans="1:19" x14ac:dyDescent="0.3">
      <c r="A223" t="s">
        <v>771</v>
      </c>
      <c r="B223" t="s">
        <v>7</v>
      </c>
      <c r="C223">
        <v>29</v>
      </c>
      <c r="D223">
        <v>29</v>
      </c>
      <c r="E223">
        <v>2610</v>
      </c>
      <c r="F223" t="str">
        <f>IF(Estadisticas_jugador[[#This Row],[minutes_played]]&gt;900, "Si", "No")</f>
        <v>Si</v>
      </c>
      <c r="G223">
        <v>0</v>
      </c>
      <c r="H223">
        <v>0</v>
      </c>
      <c r="J223">
        <v>0.11048202999999999</v>
      </c>
      <c r="K223">
        <v>6.9413793103448</v>
      </c>
      <c r="L223">
        <v>0</v>
      </c>
      <c r="M223">
        <v>0</v>
      </c>
      <c r="N223">
        <v>1</v>
      </c>
      <c r="O223">
        <v>0</v>
      </c>
      <c r="P223">
        <v>1</v>
      </c>
      <c r="Q223">
        <v>0</v>
      </c>
      <c r="R223">
        <f>Estadisticas_jugador[[#This Row],[tackles]]+Estadisticas_jugador[[#This Row],[interceptions]]</f>
        <v>1</v>
      </c>
      <c r="S223">
        <v>80</v>
      </c>
    </row>
    <row r="224" spans="1:19" x14ac:dyDescent="0.3">
      <c r="A224" t="s">
        <v>772</v>
      </c>
      <c r="B224" t="s">
        <v>7</v>
      </c>
      <c r="C224">
        <v>29</v>
      </c>
      <c r="D224">
        <v>27</v>
      </c>
      <c r="E224">
        <v>2279</v>
      </c>
      <c r="F224" t="str">
        <f>IF(Estadisticas_jugador[[#This Row],[minutes_played]]&gt;900, "Si", "No")</f>
        <v>Si</v>
      </c>
      <c r="G224">
        <v>5</v>
      </c>
      <c r="H224">
        <v>2</v>
      </c>
      <c r="I224">
        <v>5.1387999999999998</v>
      </c>
      <c r="J224">
        <v>2.2992181399999998</v>
      </c>
      <c r="K224">
        <v>6.7689655172413996</v>
      </c>
      <c r="L224">
        <v>70</v>
      </c>
      <c r="M224">
        <v>27</v>
      </c>
      <c r="N224">
        <v>3</v>
      </c>
      <c r="O224">
        <v>0</v>
      </c>
      <c r="P224">
        <v>19</v>
      </c>
      <c r="Q224">
        <v>8</v>
      </c>
      <c r="R224">
        <f>Estadisticas_jugador[[#This Row],[tackles]]+Estadisticas_jugador[[#This Row],[interceptions]]</f>
        <v>27</v>
      </c>
      <c r="S224">
        <v>0</v>
      </c>
    </row>
    <row r="225" spans="1:19" x14ac:dyDescent="0.3">
      <c r="A225" t="s">
        <v>773</v>
      </c>
      <c r="B225" t="s">
        <v>7</v>
      </c>
      <c r="C225">
        <v>28</v>
      </c>
      <c r="D225">
        <v>26</v>
      </c>
      <c r="E225">
        <v>2205</v>
      </c>
      <c r="F225" t="str">
        <f>IF(Estadisticas_jugador[[#This Row],[minutes_played]]&gt;900, "Si", "No")</f>
        <v>Si</v>
      </c>
      <c r="G225">
        <v>14</v>
      </c>
      <c r="H225">
        <v>0</v>
      </c>
      <c r="I225">
        <v>11.367000000000001</v>
      </c>
      <c r="J225">
        <v>1.39515111</v>
      </c>
      <c r="K225">
        <v>6.9607142857142996</v>
      </c>
      <c r="L225">
        <v>75</v>
      </c>
      <c r="M225">
        <v>28</v>
      </c>
      <c r="N225">
        <v>1</v>
      </c>
      <c r="O225">
        <v>0</v>
      </c>
      <c r="P225">
        <v>16</v>
      </c>
      <c r="Q225">
        <v>4</v>
      </c>
      <c r="R225">
        <f>Estadisticas_jugador[[#This Row],[tackles]]+Estadisticas_jugador[[#This Row],[interceptions]]</f>
        <v>20</v>
      </c>
      <c r="S225">
        <v>0</v>
      </c>
    </row>
    <row r="226" spans="1:19" x14ac:dyDescent="0.3">
      <c r="A226" t="s">
        <v>774</v>
      </c>
      <c r="B226" t="s">
        <v>7</v>
      </c>
      <c r="C226">
        <v>27</v>
      </c>
      <c r="D226">
        <v>5</v>
      </c>
      <c r="E226">
        <v>786</v>
      </c>
      <c r="F226" t="str">
        <f>IF(Estadisticas_jugador[[#This Row],[minutes_played]]&gt;900, "Si", "No")</f>
        <v>No</v>
      </c>
      <c r="G226">
        <v>5</v>
      </c>
      <c r="H226">
        <v>0</v>
      </c>
      <c r="I226">
        <v>5.1761999999999997</v>
      </c>
      <c r="J226">
        <v>1.0262160600000001</v>
      </c>
      <c r="K226">
        <v>6.7444444444444001</v>
      </c>
      <c r="L226">
        <v>27</v>
      </c>
      <c r="M226">
        <v>16</v>
      </c>
      <c r="N226">
        <v>1</v>
      </c>
      <c r="O226">
        <v>1</v>
      </c>
      <c r="P226">
        <v>14</v>
      </c>
      <c r="Q226">
        <v>7</v>
      </c>
      <c r="R226">
        <f>Estadisticas_jugador[[#This Row],[tackles]]+Estadisticas_jugador[[#This Row],[interceptions]]</f>
        <v>21</v>
      </c>
      <c r="S226">
        <v>0</v>
      </c>
    </row>
    <row r="227" spans="1:19" x14ac:dyDescent="0.3">
      <c r="A227" t="s">
        <v>775</v>
      </c>
      <c r="B227" t="s">
        <v>7</v>
      </c>
      <c r="C227">
        <v>5</v>
      </c>
      <c r="D227">
        <v>1</v>
      </c>
      <c r="E227">
        <v>163</v>
      </c>
      <c r="F227" t="str">
        <f>IF(Estadisticas_jugador[[#This Row],[minutes_played]]&gt;900, "Si", "No")</f>
        <v>No</v>
      </c>
      <c r="G227">
        <v>1</v>
      </c>
      <c r="H227">
        <v>0</v>
      </c>
      <c r="I227">
        <v>0.60419999999999996</v>
      </c>
      <c r="J227">
        <v>0.49987874999999998</v>
      </c>
      <c r="K227">
        <v>7.02</v>
      </c>
      <c r="L227">
        <v>2</v>
      </c>
      <c r="M227">
        <v>1</v>
      </c>
      <c r="N227">
        <v>1</v>
      </c>
      <c r="O227">
        <v>0</v>
      </c>
      <c r="P227">
        <v>1</v>
      </c>
      <c r="Q227">
        <v>2</v>
      </c>
      <c r="R227">
        <f>Estadisticas_jugador[[#This Row],[tackles]]+Estadisticas_jugador[[#This Row],[interceptions]]</f>
        <v>3</v>
      </c>
      <c r="S227">
        <v>0</v>
      </c>
    </row>
    <row r="228" spans="1:19" x14ac:dyDescent="0.3">
      <c r="A228" t="s">
        <v>776</v>
      </c>
      <c r="B228" t="s">
        <v>7</v>
      </c>
      <c r="C228">
        <v>19</v>
      </c>
      <c r="D228">
        <v>1</v>
      </c>
      <c r="E228">
        <v>292</v>
      </c>
      <c r="F228" t="str">
        <f>IF(Estadisticas_jugador[[#This Row],[minutes_played]]&gt;900, "Si", "No")</f>
        <v>No</v>
      </c>
      <c r="G228">
        <v>1</v>
      </c>
      <c r="H228">
        <v>2</v>
      </c>
      <c r="I228">
        <v>0.505</v>
      </c>
      <c r="J228">
        <v>0.68711021999999999</v>
      </c>
      <c r="K228">
        <v>6.6105263157894996</v>
      </c>
      <c r="L228">
        <v>4</v>
      </c>
      <c r="M228">
        <v>2</v>
      </c>
      <c r="N228">
        <v>3</v>
      </c>
      <c r="O228">
        <v>0</v>
      </c>
      <c r="P228">
        <v>5</v>
      </c>
      <c r="Q228">
        <v>0</v>
      </c>
      <c r="R228">
        <f>Estadisticas_jugador[[#This Row],[tackles]]+Estadisticas_jugador[[#This Row],[interceptions]]</f>
        <v>5</v>
      </c>
      <c r="S228">
        <v>0</v>
      </c>
    </row>
    <row r="229" spans="1:19" x14ac:dyDescent="0.3">
      <c r="A229" t="s">
        <v>777</v>
      </c>
      <c r="B229" t="s">
        <v>7</v>
      </c>
      <c r="C229">
        <v>7</v>
      </c>
      <c r="D229">
        <v>4</v>
      </c>
      <c r="E229">
        <v>346</v>
      </c>
      <c r="F229" t="str">
        <f>IF(Estadisticas_jugador[[#This Row],[minutes_played]]&gt;900, "Si", "No")</f>
        <v>No</v>
      </c>
      <c r="G229">
        <v>0</v>
      </c>
      <c r="H229">
        <v>2</v>
      </c>
      <c r="I229">
        <v>0.1177</v>
      </c>
      <c r="J229">
        <v>0.7646288</v>
      </c>
      <c r="K229">
        <v>6.8285714285713999</v>
      </c>
      <c r="L229">
        <v>4</v>
      </c>
      <c r="M229">
        <v>0</v>
      </c>
      <c r="N229">
        <v>0</v>
      </c>
      <c r="O229">
        <v>0</v>
      </c>
      <c r="P229">
        <v>1</v>
      </c>
      <c r="Q229">
        <v>0</v>
      </c>
      <c r="R229">
        <f>Estadisticas_jugador[[#This Row],[tackles]]+Estadisticas_jugador[[#This Row],[interceptions]]</f>
        <v>1</v>
      </c>
      <c r="S229">
        <v>0</v>
      </c>
    </row>
    <row r="230" spans="1:19" x14ac:dyDescent="0.3">
      <c r="A230" t="s">
        <v>778</v>
      </c>
      <c r="B230" t="s">
        <v>7</v>
      </c>
      <c r="C230">
        <v>22</v>
      </c>
      <c r="D230">
        <v>19</v>
      </c>
      <c r="E230">
        <v>1632</v>
      </c>
      <c r="F230" t="str">
        <f>IF(Estadisticas_jugador[[#This Row],[minutes_played]]&gt;900, "Si", "No")</f>
        <v>Si</v>
      </c>
      <c r="G230">
        <v>0</v>
      </c>
      <c r="H230">
        <v>2</v>
      </c>
      <c r="I230">
        <v>1.5216000000000001</v>
      </c>
      <c r="J230">
        <v>2.6422077000000002</v>
      </c>
      <c r="K230">
        <v>6.8681818181818004</v>
      </c>
      <c r="L230">
        <v>26</v>
      </c>
      <c r="M230">
        <v>4</v>
      </c>
      <c r="N230">
        <v>5</v>
      </c>
      <c r="O230">
        <v>0</v>
      </c>
      <c r="P230">
        <v>33</v>
      </c>
      <c r="Q230">
        <v>9</v>
      </c>
      <c r="R230">
        <f>Estadisticas_jugador[[#This Row],[tackles]]+Estadisticas_jugador[[#This Row],[interceptions]]</f>
        <v>42</v>
      </c>
      <c r="S230">
        <v>0</v>
      </c>
    </row>
    <row r="231" spans="1:19" x14ac:dyDescent="0.3">
      <c r="A231" t="s">
        <v>779</v>
      </c>
      <c r="B231" t="s">
        <v>7</v>
      </c>
      <c r="C231">
        <v>26</v>
      </c>
      <c r="D231">
        <v>20</v>
      </c>
      <c r="E231">
        <v>1636</v>
      </c>
      <c r="F231" t="str">
        <f>IF(Estadisticas_jugador[[#This Row],[minutes_played]]&gt;900, "Si", "No")</f>
        <v>Si</v>
      </c>
      <c r="G231">
        <v>2</v>
      </c>
      <c r="H231">
        <v>5</v>
      </c>
      <c r="I231">
        <v>1.3892</v>
      </c>
      <c r="J231">
        <v>4.1911280499999997</v>
      </c>
      <c r="K231">
        <v>6.8692307692307999</v>
      </c>
      <c r="L231">
        <v>20</v>
      </c>
      <c r="M231">
        <v>5</v>
      </c>
      <c r="N231">
        <v>5</v>
      </c>
      <c r="O231">
        <v>0</v>
      </c>
      <c r="P231">
        <v>42</v>
      </c>
      <c r="Q231">
        <v>13</v>
      </c>
      <c r="R231">
        <f>Estadisticas_jugador[[#This Row],[tackles]]+Estadisticas_jugador[[#This Row],[interceptions]]</f>
        <v>55</v>
      </c>
      <c r="S231">
        <v>0</v>
      </c>
    </row>
    <row r="232" spans="1:19" x14ac:dyDescent="0.3">
      <c r="A232" t="s">
        <v>780</v>
      </c>
      <c r="B232" t="s">
        <v>7</v>
      </c>
      <c r="C232">
        <v>27</v>
      </c>
      <c r="D232">
        <v>26</v>
      </c>
      <c r="E232">
        <v>2270</v>
      </c>
      <c r="F232" t="str">
        <f>IF(Estadisticas_jugador[[#This Row],[minutes_played]]&gt;900, "Si", "No")</f>
        <v>Si</v>
      </c>
      <c r="G232">
        <v>0</v>
      </c>
      <c r="H232">
        <v>4</v>
      </c>
      <c r="I232">
        <v>1.6827000000000001</v>
      </c>
      <c r="J232">
        <v>2.6261660400000002</v>
      </c>
      <c r="K232">
        <v>6.8703703703704004</v>
      </c>
      <c r="L232">
        <v>17</v>
      </c>
      <c r="M232">
        <v>3</v>
      </c>
      <c r="N232">
        <v>7</v>
      </c>
      <c r="O232">
        <v>0</v>
      </c>
      <c r="P232">
        <v>39</v>
      </c>
      <c r="Q232">
        <v>16</v>
      </c>
      <c r="R232">
        <f>Estadisticas_jugador[[#This Row],[tackles]]+Estadisticas_jugador[[#This Row],[interceptions]]</f>
        <v>55</v>
      </c>
      <c r="S232">
        <v>0</v>
      </c>
    </row>
    <row r="233" spans="1:19" x14ac:dyDescent="0.3">
      <c r="A233" t="s">
        <v>781</v>
      </c>
      <c r="B233" t="s">
        <v>7</v>
      </c>
      <c r="C233">
        <v>26</v>
      </c>
      <c r="D233">
        <v>25</v>
      </c>
      <c r="E233">
        <v>1847</v>
      </c>
      <c r="F233" t="str">
        <f>IF(Estadisticas_jugador[[#This Row],[minutes_played]]&gt;900, "Si", "No")</f>
        <v>Si</v>
      </c>
      <c r="G233">
        <v>0</v>
      </c>
      <c r="H233">
        <v>1</v>
      </c>
      <c r="I233">
        <v>1.1543000000000001</v>
      </c>
      <c r="J233">
        <v>0.65638658999999999</v>
      </c>
      <c r="K233">
        <v>6.76</v>
      </c>
      <c r="L233">
        <v>19</v>
      </c>
      <c r="M233">
        <v>5</v>
      </c>
      <c r="N233">
        <v>6</v>
      </c>
      <c r="O233">
        <v>0</v>
      </c>
      <c r="P233">
        <v>30</v>
      </c>
      <c r="Q233">
        <v>23</v>
      </c>
      <c r="R233">
        <f>Estadisticas_jugador[[#This Row],[tackles]]+Estadisticas_jugador[[#This Row],[interceptions]]</f>
        <v>53</v>
      </c>
      <c r="S233">
        <v>0</v>
      </c>
    </row>
    <row r="234" spans="1:19" x14ac:dyDescent="0.3">
      <c r="A234" t="s">
        <v>782</v>
      </c>
      <c r="B234" t="s">
        <v>7</v>
      </c>
      <c r="C234">
        <v>20</v>
      </c>
      <c r="D234">
        <v>10</v>
      </c>
      <c r="E234">
        <v>990</v>
      </c>
      <c r="F234" t="str">
        <f>IF(Estadisticas_jugador[[#This Row],[minutes_played]]&gt;900, "Si", "No")</f>
        <v>Si</v>
      </c>
      <c r="G234">
        <v>0</v>
      </c>
      <c r="H234">
        <v>1</v>
      </c>
      <c r="I234">
        <v>0.39319999999999999</v>
      </c>
      <c r="J234">
        <v>1.2752017</v>
      </c>
      <c r="K234">
        <v>6.875</v>
      </c>
      <c r="L234">
        <v>11</v>
      </c>
      <c r="M234">
        <v>2</v>
      </c>
      <c r="N234">
        <v>2</v>
      </c>
      <c r="O234">
        <v>0</v>
      </c>
      <c r="P234">
        <v>14</v>
      </c>
      <c r="Q234">
        <v>9</v>
      </c>
      <c r="R234">
        <f>Estadisticas_jugador[[#This Row],[tackles]]+Estadisticas_jugador[[#This Row],[interceptions]]</f>
        <v>23</v>
      </c>
      <c r="S234">
        <v>0</v>
      </c>
    </row>
    <row r="235" spans="1:19" x14ac:dyDescent="0.3">
      <c r="A235" t="s">
        <v>783</v>
      </c>
      <c r="B235" t="s">
        <v>7</v>
      </c>
      <c r="C235">
        <v>13</v>
      </c>
      <c r="D235">
        <v>5</v>
      </c>
      <c r="E235">
        <v>667</v>
      </c>
      <c r="F235" t="str">
        <f>IF(Estadisticas_jugador[[#This Row],[minutes_played]]&gt;900, "Si", "No")</f>
        <v>No</v>
      </c>
      <c r="G235">
        <v>0</v>
      </c>
      <c r="H235">
        <v>0</v>
      </c>
      <c r="I235">
        <v>0.2792</v>
      </c>
      <c r="J235">
        <v>0.22106254</v>
      </c>
      <c r="K235">
        <v>6.7230769230769001</v>
      </c>
      <c r="L235">
        <v>7</v>
      </c>
      <c r="M235">
        <v>3</v>
      </c>
      <c r="N235">
        <v>3</v>
      </c>
      <c r="O235">
        <v>0</v>
      </c>
      <c r="P235">
        <v>10</v>
      </c>
      <c r="Q235">
        <v>8</v>
      </c>
      <c r="R235">
        <f>Estadisticas_jugador[[#This Row],[tackles]]+Estadisticas_jugador[[#This Row],[interceptions]]</f>
        <v>18</v>
      </c>
      <c r="S235">
        <v>0</v>
      </c>
    </row>
    <row r="236" spans="1:19" x14ac:dyDescent="0.3">
      <c r="A236" t="s">
        <v>784</v>
      </c>
      <c r="B236" t="s">
        <v>7</v>
      </c>
      <c r="C236">
        <v>13</v>
      </c>
      <c r="D236">
        <v>2</v>
      </c>
      <c r="E236">
        <v>318</v>
      </c>
      <c r="F236" t="str">
        <f>IF(Estadisticas_jugador[[#This Row],[minutes_played]]&gt;900, "Si", "No")</f>
        <v>No</v>
      </c>
      <c r="G236">
        <v>1</v>
      </c>
      <c r="H236">
        <v>0</v>
      </c>
      <c r="I236">
        <v>0.42799999999999999</v>
      </c>
      <c r="J236">
        <v>9.7088640000000004E-2</v>
      </c>
      <c r="K236">
        <v>6.64</v>
      </c>
      <c r="L236">
        <v>3</v>
      </c>
      <c r="M236">
        <v>1</v>
      </c>
      <c r="N236">
        <v>1</v>
      </c>
      <c r="O236">
        <v>0</v>
      </c>
      <c r="P236">
        <v>6</v>
      </c>
      <c r="Q236">
        <v>4</v>
      </c>
      <c r="R236">
        <f>Estadisticas_jugador[[#This Row],[tackles]]+Estadisticas_jugador[[#This Row],[interceptions]]</f>
        <v>10</v>
      </c>
      <c r="S236">
        <v>0</v>
      </c>
    </row>
    <row r="237" spans="1:19" x14ac:dyDescent="0.3">
      <c r="A237" t="s">
        <v>785</v>
      </c>
      <c r="B237" t="s">
        <v>7</v>
      </c>
      <c r="C237">
        <v>22</v>
      </c>
      <c r="D237">
        <v>21</v>
      </c>
      <c r="E237">
        <v>1825</v>
      </c>
      <c r="F237" t="str">
        <f>IF(Estadisticas_jugador[[#This Row],[minutes_played]]&gt;900, "Si", "No")</f>
        <v>Si</v>
      </c>
      <c r="G237">
        <v>1</v>
      </c>
      <c r="H237">
        <v>1</v>
      </c>
      <c r="I237">
        <v>0.60940000000000005</v>
      </c>
      <c r="J237">
        <v>0.91478515000000005</v>
      </c>
      <c r="K237">
        <v>6.9</v>
      </c>
      <c r="L237">
        <v>6</v>
      </c>
      <c r="M237">
        <v>2</v>
      </c>
      <c r="N237">
        <v>4</v>
      </c>
      <c r="O237">
        <v>0</v>
      </c>
      <c r="P237">
        <v>50</v>
      </c>
      <c r="Q237">
        <v>12</v>
      </c>
      <c r="R237">
        <f>Estadisticas_jugador[[#This Row],[tackles]]+Estadisticas_jugador[[#This Row],[interceptions]]</f>
        <v>62</v>
      </c>
      <c r="S237">
        <v>0</v>
      </c>
    </row>
    <row r="238" spans="1:19" x14ac:dyDescent="0.3">
      <c r="A238" t="s">
        <v>786</v>
      </c>
      <c r="B238" t="s">
        <v>7</v>
      </c>
      <c r="C238">
        <v>17</v>
      </c>
      <c r="D238">
        <v>13</v>
      </c>
      <c r="E238">
        <v>1198</v>
      </c>
      <c r="F238" t="str">
        <f>IF(Estadisticas_jugador[[#This Row],[minutes_played]]&gt;900, "Si", "No")</f>
        <v>Si</v>
      </c>
      <c r="G238">
        <v>0</v>
      </c>
      <c r="H238">
        <v>1</v>
      </c>
      <c r="I238">
        <v>0.16600000000000001</v>
      </c>
      <c r="J238">
        <v>1.8597604400000001</v>
      </c>
      <c r="K238">
        <v>6.9058823529411999</v>
      </c>
      <c r="L238">
        <v>4</v>
      </c>
      <c r="M238">
        <v>1</v>
      </c>
      <c r="N238">
        <v>2</v>
      </c>
      <c r="O238">
        <v>0</v>
      </c>
      <c r="P238">
        <v>35</v>
      </c>
      <c r="Q238">
        <v>21</v>
      </c>
      <c r="R238">
        <f>Estadisticas_jugador[[#This Row],[tackles]]+Estadisticas_jugador[[#This Row],[interceptions]]</f>
        <v>56</v>
      </c>
      <c r="S238">
        <v>0</v>
      </c>
    </row>
    <row r="239" spans="1:19" x14ac:dyDescent="0.3">
      <c r="A239" t="s">
        <v>787</v>
      </c>
      <c r="B239" t="s">
        <v>7</v>
      </c>
      <c r="C239">
        <v>27</v>
      </c>
      <c r="D239">
        <v>27</v>
      </c>
      <c r="E239">
        <v>2353</v>
      </c>
      <c r="F239" t="str">
        <f>IF(Estadisticas_jugador[[#This Row],[minutes_played]]&gt;900, "Si", "No")</f>
        <v>Si</v>
      </c>
      <c r="G239">
        <v>2</v>
      </c>
      <c r="H239">
        <v>2</v>
      </c>
      <c r="I239">
        <v>2.3138999999999998</v>
      </c>
      <c r="J239">
        <v>0.99615615000000002</v>
      </c>
      <c r="K239">
        <v>6.9111111111110999</v>
      </c>
      <c r="L239">
        <v>14</v>
      </c>
      <c r="M239">
        <v>2</v>
      </c>
      <c r="N239">
        <v>8</v>
      </c>
      <c r="O239">
        <v>1</v>
      </c>
      <c r="P239">
        <v>29</v>
      </c>
      <c r="Q239">
        <v>30</v>
      </c>
      <c r="R239">
        <f>Estadisticas_jugador[[#This Row],[tackles]]+Estadisticas_jugador[[#This Row],[interceptions]]</f>
        <v>59</v>
      </c>
      <c r="S239">
        <v>0</v>
      </c>
    </row>
    <row r="240" spans="1:19" x14ac:dyDescent="0.3">
      <c r="A240" t="s">
        <v>788</v>
      </c>
      <c r="B240" t="s">
        <v>7</v>
      </c>
      <c r="C240">
        <v>22</v>
      </c>
      <c r="D240">
        <v>21</v>
      </c>
      <c r="E240">
        <v>1756</v>
      </c>
      <c r="F240" t="str">
        <f>IF(Estadisticas_jugador[[#This Row],[minutes_played]]&gt;900, "Si", "No")</f>
        <v>Si</v>
      </c>
      <c r="G240">
        <v>0</v>
      </c>
      <c r="H240">
        <v>1</v>
      </c>
      <c r="I240">
        <v>0.22559999999999999</v>
      </c>
      <c r="J240">
        <v>1.4296337699999999</v>
      </c>
      <c r="K240">
        <v>6.6409090909091004</v>
      </c>
      <c r="L240">
        <v>8</v>
      </c>
      <c r="M240">
        <v>2</v>
      </c>
      <c r="N240">
        <v>3</v>
      </c>
      <c r="O240">
        <v>1</v>
      </c>
      <c r="P240">
        <v>34</v>
      </c>
      <c r="Q240">
        <v>32</v>
      </c>
      <c r="R240">
        <f>Estadisticas_jugador[[#This Row],[tackles]]+Estadisticas_jugador[[#This Row],[interceptions]]</f>
        <v>66</v>
      </c>
      <c r="S240">
        <v>0</v>
      </c>
    </row>
    <row r="241" spans="1:19" x14ac:dyDescent="0.3">
      <c r="A241" t="s">
        <v>789</v>
      </c>
      <c r="B241" t="s">
        <v>7</v>
      </c>
      <c r="C241">
        <v>22</v>
      </c>
      <c r="D241">
        <v>15</v>
      </c>
      <c r="E241">
        <v>1435</v>
      </c>
      <c r="F241" t="str">
        <f>IF(Estadisticas_jugador[[#This Row],[minutes_played]]&gt;900, "Si", "No")</f>
        <v>Si</v>
      </c>
      <c r="G241">
        <v>1</v>
      </c>
      <c r="H241">
        <v>0</v>
      </c>
      <c r="I241">
        <v>0.63480000000000003</v>
      </c>
      <c r="J241">
        <v>0.86137432999999997</v>
      </c>
      <c r="K241">
        <v>6.7636363636364001</v>
      </c>
      <c r="L241">
        <v>11</v>
      </c>
      <c r="M241">
        <v>3</v>
      </c>
      <c r="N241">
        <v>5</v>
      </c>
      <c r="O241">
        <v>1</v>
      </c>
      <c r="P241">
        <v>30</v>
      </c>
      <c r="Q241">
        <v>15</v>
      </c>
      <c r="R241">
        <f>Estadisticas_jugador[[#This Row],[tackles]]+Estadisticas_jugador[[#This Row],[interceptions]]</f>
        <v>45</v>
      </c>
      <c r="S241">
        <v>0</v>
      </c>
    </row>
    <row r="242" spans="1:19" x14ac:dyDescent="0.3">
      <c r="A242" t="s">
        <v>790</v>
      </c>
      <c r="B242" t="s">
        <v>7</v>
      </c>
      <c r="C242">
        <v>24</v>
      </c>
      <c r="D242">
        <v>14</v>
      </c>
      <c r="E242">
        <v>1399</v>
      </c>
      <c r="F242" t="str">
        <f>IF(Estadisticas_jugador[[#This Row],[minutes_played]]&gt;900, "Si", "No")</f>
        <v>Si</v>
      </c>
      <c r="G242">
        <v>0</v>
      </c>
      <c r="H242">
        <v>1</v>
      </c>
      <c r="I242">
        <v>0.29199999999999998</v>
      </c>
      <c r="J242">
        <v>0.80177847999999996</v>
      </c>
      <c r="K242">
        <v>6.6956521739130004</v>
      </c>
      <c r="L242">
        <v>3</v>
      </c>
      <c r="M242">
        <v>0</v>
      </c>
      <c r="N242">
        <v>2</v>
      </c>
      <c r="O242">
        <v>0</v>
      </c>
      <c r="P242">
        <v>29</v>
      </c>
      <c r="Q242">
        <v>15</v>
      </c>
      <c r="R242">
        <f>Estadisticas_jugador[[#This Row],[tackles]]+Estadisticas_jugador[[#This Row],[interceptions]]</f>
        <v>44</v>
      </c>
      <c r="S242">
        <v>0</v>
      </c>
    </row>
    <row r="243" spans="1:19" x14ac:dyDescent="0.3">
      <c r="A243" t="s">
        <v>791</v>
      </c>
      <c r="B243" t="s">
        <v>7</v>
      </c>
      <c r="C243">
        <v>14</v>
      </c>
      <c r="D243">
        <v>7</v>
      </c>
      <c r="E243">
        <v>615</v>
      </c>
      <c r="F243" t="str">
        <f>IF(Estadisticas_jugador[[#This Row],[minutes_played]]&gt;900, "Si", "No")</f>
        <v>No</v>
      </c>
      <c r="G243">
        <v>0</v>
      </c>
      <c r="H243">
        <v>0</v>
      </c>
      <c r="I243">
        <v>0.39090000000000003</v>
      </c>
      <c r="J243">
        <v>0.22289354</v>
      </c>
      <c r="K243">
        <v>6.6</v>
      </c>
      <c r="L243">
        <v>1</v>
      </c>
      <c r="M243">
        <v>0</v>
      </c>
      <c r="N243">
        <v>0</v>
      </c>
      <c r="O243">
        <v>0</v>
      </c>
      <c r="P243">
        <v>4</v>
      </c>
      <c r="Q243">
        <v>3</v>
      </c>
      <c r="R243">
        <f>Estadisticas_jugador[[#This Row],[tackles]]+Estadisticas_jugador[[#This Row],[interceptions]]</f>
        <v>7</v>
      </c>
      <c r="S243">
        <v>0</v>
      </c>
    </row>
    <row r="244" spans="1:19" x14ac:dyDescent="0.3">
      <c r="A244" t="s">
        <v>792</v>
      </c>
      <c r="B244" t="s">
        <v>7</v>
      </c>
      <c r="C244">
        <v>6</v>
      </c>
      <c r="D244">
        <v>2</v>
      </c>
      <c r="E244">
        <v>196</v>
      </c>
      <c r="F244" t="str">
        <f>IF(Estadisticas_jugador[[#This Row],[minutes_played]]&gt;900, "Si", "No")</f>
        <v>No</v>
      </c>
      <c r="G244">
        <v>0</v>
      </c>
      <c r="H244">
        <v>0</v>
      </c>
      <c r="J244">
        <v>1.5973190000000002E-2</v>
      </c>
      <c r="K244">
        <v>6.45</v>
      </c>
      <c r="L244">
        <v>0</v>
      </c>
      <c r="M244">
        <v>0</v>
      </c>
      <c r="N244">
        <v>0</v>
      </c>
      <c r="O244">
        <v>1</v>
      </c>
      <c r="P244">
        <v>3</v>
      </c>
      <c r="Q244">
        <v>2</v>
      </c>
      <c r="R244">
        <f>Estadisticas_jugador[[#This Row],[tackles]]+Estadisticas_jugador[[#This Row],[interceptions]]</f>
        <v>5</v>
      </c>
      <c r="S244">
        <v>0</v>
      </c>
    </row>
    <row r="245" spans="1:19" x14ac:dyDescent="0.3">
      <c r="A245" t="s">
        <v>793</v>
      </c>
      <c r="B245" t="s">
        <v>7</v>
      </c>
      <c r="C245">
        <v>29</v>
      </c>
      <c r="D245">
        <v>29</v>
      </c>
      <c r="E245">
        <v>2610</v>
      </c>
      <c r="F245" t="str">
        <f>IF(Estadisticas_jugador[[#This Row],[minutes_played]]&gt;900, "Si", "No")</f>
        <v>Si</v>
      </c>
      <c r="G245">
        <v>0</v>
      </c>
      <c r="H245">
        <v>0</v>
      </c>
      <c r="J245">
        <v>7.1093030000000002E-2</v>
      </c>
      <c r="K245">
        <v>7.1379310344827998</v>
      </c>
      <c r="L245">
        <v>0</v>
      </c>
      <c r="M245">
        <v>0</v>
      </c>
      <c r="N245">
        <v>3</v>
      </c>
      <c r="O245">
        <v>0</v>
      </c>
      <c r="P245">
        <v>0</v>
      </c>
      <c r="Q245">
        <v>0</v>
      </c>
      <c r="R245">
        <f>Estadisticas_jugador[[#This Row],[tackles]]+Estadisticas_jugador[[#This Row],[interceptions]]</f>
        <v>0</v>
      </c>
      <c r="S245">
        <v>96</v>
      </c>
    </row>
    <row r="246" spans="1:19" x14ac:dyDescent="0.3">
      <c r="A246" t="s">
        <v>794</v>
      </c>
      <c r="B246" t="s">
        <v>7</v>
      </c>
      <c r="C246">
        <v>5</v>
      </c>
      <c r="D246">
        <v>3</v>
      </c>
      <c r="E246">
        <v>214</v>
      </c>
      <c r="F246" t="str">
        <f>IF(Estadisticas_jugador[[#This Row],[minutes_played]]&gt;900, "Si", "No")</f>
        <v>No</v>
      </c>
      <c r="G246">
        <v>0</v>
      </c>
      <c r="H246">
        <v>2</v>
      </c>
      <c r="I246">
        <v>0.35680000000000001</v>
      </c>
      <c r="J246">
        <v>0.49305158999999998</v>
      </c>
      <c r="K246">
        <v>6.7</v>
      </c>
      <c r="L246">
        <v>7</v>
      </c>
      <c r="M246">
        <v>2</v>
      </c>
      <c r="N246">
        <v>2</v>
      </c>
      <c r="O246">
        <v>0</v>
      </c>
      <c r="P246">
        <v>4</v>
      </c>
      <c r="Q246">
        <v>3</v>
      </c>
      <c r="R246">
        <f>Estadisticas_jugador[[#This Row],[tackles]]+Estadisticas_jugador[[#This Row],[interceptions]]</f>
        <v>7</v>
      </c>
      <c r="S246">
        <v>0</v>
      </c>
    </row>
    <row r="247" spans="1:19" x14ac:dyDescent="0.3">
      <c r="A247" t="s">
        <v>795</v>
      </c>
      <c r="B247" t="s">
        <v>7</v>
      </c>
      <c r="C247">
        <v>28</v>
      </c>
      <c r="D247">
        <v>13</v>
      </c>
      <c r="E247">
        <v>1336</v>
      </c>
      <c r="F247" t="str">
        <f>IF(Estadisticas_jugador[[#This Row],[minutes_played]]&gt;900, "Si", "No")</f>
        <v>Si</v>
      </c>
      <c r="G247">
        <v>6</v>
      </c>
      <c r="H247">
        <v>1</v>
      </c>
      <c r="I247">
        <v>6.2793000000000001</v>
      </c>
      <c r="J247">
        <v>2.14955724</v>
      </c>
      <c r="K247">
        <v>6.7321428571429003</v>
      </c>
      <c r="L247">
        <v>47</v>
      </c>
      <c r="M247">
        <v>21</v>
      </c>
      <c r="N247">
        <v>3</v>
      </c>
      <c r="O247">
        <v>0</v>
      </c>
      <c r="P247">
        <v>10</v>
      </c>
      <c r="Q247">
        <v>5</v>
      </c>
      <c r="R247">
        <f>Estadisticas_jugador[[#This Row],[tackles]]+Estadisticas_jugador[[#This Row],[interceptions]]</f>
        <v>15</v>
      </c>
      <c r="S247">
        <v>0</v>
      </c>
    </row>
    <row r="248" spans="1:19" x14ac:dyDescent="0.3">
      <c r="A248" t="s">
        <v>796</v>
      </c>
      <c r="B248" t="s">
        <v>7</v>
      </c>
      <c r="C248">
        <v>17</v>
      </c>
      <c r="D248">
        <v>4</v>
      </c>
      <c r="E248">
        <v>556</v>
      </c>
      <c r="F248" t="str">
        <f>IF(Estadisticas_jugador[[#This Row],[minutes_played]]&gt;900, "Si", "No")</f>
        <v>No</v>
      </c>
      <c r="G248">
        <v>1</v>
      </c>
      <c r="H248">
        <v>0</v>
      </c>
      <c r="I248">
        <v>0.78110000000000002</v>
      </c>
      <c r="J248">
        <v>8.1631990000000001E-2</v>
      </c>
      <c r="K248">
        <v>6.5352941176471004</v>
      </c>
      <c r="L248">
        <v>8</v>
      </c>
      <c r="M248">
        <v>3</v>
      </c>
      <c r="N248">
        <v>1</v>
      </c>
      <c r="O248">
        <v>2</v>
      </c>
      <c r="P248">
        <v>10</v>
      </c>
      <c r="Q248">
        <v>4</v>
      </c>
      <c r="R248">
        <f>Estadisticas_jugador[[#This Row],[tackles]]+Estadisticas_jugador[[#This Row],[interceptions]]</f>
        <v>14</v>
      </c>
      <c r="S248">
        <v>0</v>
      </c>
    </row>
    <row r="249" spans="1:19" x14ac:dyDescent="0.3">
      <c r="A249" t="s">
        <v>797</v>
      </c>
      <c r="B249" t="s">
        <v>7</v>
      </c>
      <c r="C249">
        <v>10</v>
      </c>
      <c r="D249">
        <v>8</v>
      </c>
      <c r="E249">
        <v>678</v>
      </c>
      <c r="F249" t="str">
        <f>IF(Estadisticas_jugador[[#This Row],[minutes_played]]&gt;900, "Si", "No")</f>
        <v>No</v>
      </c>
      <c r="G249">
        <v>2</v>
      </c>
      <c r="H249">
        <v>0</v>
      </c>
      <c r="I249">
        <v>3.4729000000000001</v>
      </c>
      <c r="J249">
        <v>0.82551143999999999</v>
      </c>
      <c r="K249">
        <v>6.5888888888889001</v>
      </c>
      <c r="L249">
        <v>15</v>
      </c>
      <c r="M249">
        <v>9</v>
      </c>
      <c r="N249">
        <v>2</v>
      </c>
      <c r="O249">
        <v>0</v>
      </c>
      <c r="P249">
        <v>4</v>
      </c>
      <c r="Q249">
        <v>3</v>
      </c>
      <c r="R249">
        <f>Estadisticas_jugador[[#This Row],[tackles]]+Estadisticas_jugador[[#This Row],[interceptions]]</f>
        <v>7</v>
      </c>
      <c r="S249">
        <v>0</v>
      </c>
    </row>
    <row r="250" spans="1:19" x14ac:dyDescent="0.3">
      <c r="A250" t="s">
        <v>798</v>
      </c>
      <c r="B250" t="s">
        <v>7</v>
      </c>
      <c r="C250">
        <v>27</v>
      </c>
      <c r="D250">
        <v>23</v>
      </c>
      <c r="E250">
        <v>1825</v>
      </c>
      <c r="F250" t="str">
        <f>IF(Estadisticas_jugador[[#This Row],[minutes_played]]&gt;900, "Si", "No")</f>
        <v>Si</v>
      </c>
      <c r="G250">
        <v>1</v>
      </c>
      <c r="H250">
        <v>6</v>
      </c>
      <c r="I250">
        <v>1.7609999999999999</v>
      </c>
      <c r="J250">
        <v>5.9969670500000003</v>
      </c>
      <c r="K250">
        <v>7.0925925925925997</v>
      </c>
      <c r="L250">
        <v>30</v>
      </c>
      <c r="M250">
        <v>9</v>
      </c>
      <c r="N250">
        <v>6</v>
      </c>
      <c r="O250">
        <v>0</v>
      </c>
      <c r="P250">
        <v>37</v>
      </c>
      <c r="Q250">
        <v>17</v>
      </c>
      <c r="R250">
        <f>Estadisticas_jugador[[#This Row],[tackles]]+Estadisticas_jugador[[#This Row],[interceptions]]</f>
        <v>54</v>
      </c>
      <c r="S250">
        <v>0</v>
      </c>
    </row>
    <row r="251" spans="1:19" x14ac:dyDescent="0.3">
      <c r="A251" t="s">
        <v>799</v>
      </c>
      <c r="B251" t="s">
        <v>7</v>
      </c>
      <c r="C251">
        <v>26</v>
      </c>
      <c r="D251">
        <v>21</v>
      </c>
      <c r="E251">
        <v>1647</v>
      </c>
      <c r="F251" t="str">
        <f>IF(Estadisticas_jugador[[#This Row],[minutes_played]]&gt;900, "Si", "No")</f>
        <v>Si</v>
      </c>
      <c r="G251">
        <v>6</v>
      </c>
      <c r="H251">
        <v>0</v>
      </c>
      <c r="I251">
        <v>6.3079000000000001</v>
      </c>
      <c r="J251">
        <v>2.1274543000000001</v>
      </c>
      <c r="K251">
        <v>6.7461538461538</v>
      </c>
      <c r="L251">
        <v>53</v>
      </c>
      <c r="M251">
        <v>19</v>
      </c>
      <c r="N251">
        <v>5</v>
      </c>
      <c r="O251">
        <v>1</v>
      </c>
      <c r="P251">
        <v>28</v>
      </c>
      <c r="Q251">
        <v>13</v>
      </c>
      <c r="R251">
        <f>Estadisticas_jugador[[#This Row],[tackles]]+Estadisticas_jugador[[#This Row],[interceptions]]</f>
        <v>41</v>
      </c>
      <c r="S251">
        <v>0</v>
      </c>
    </row>
    <row r="252" spans="1:19" x14ac:dyDescent="0.3">
      <c r="A252" t="s">
        <v>800</v>
      </c>
      <c r="B252" t="s">
        <v>7</v>
      </c>
      <c r="C252">
        <v>28</v>
      </c>
      <c r="D252">
        <v>22</v>
      </c>
      <c r="E252">
        <v>1914</v>
      </c>
      <c r="F252" t="str">
        <f>IF(Estadisticas_jugador[[#This Row],[minutes_played]]&gt;900, "Si", "No")</f>
        <v>Si</v>
      </c>
      <c r="G252">
        <v>1</v>
      </c>
      <c r="H252">
        <v>4</v>
      </c>
      <c r="I252">
        <v>2.1877</v>
      </c>
      <c r="J252">
        <v>3.3246673499999999</v>
      </c>
      <c r="K252">
        <v>6.7285714285714002</v>
      </c>
      <c r="L252">
        <v>29</v>
      </c>
      <c r="M252">
        <v>9</v>
      </c>
      <c r="N252">
        <v>4</v>
      </c>
      <c r="O252">
        <v>1</v>
      </c>
      <c r="P252">
        <v>47</v>
      </c>
      <c r="Q252">
        <v>14</v>
      </c>
      <c r="R252">
        <f>Estadisticas_jugador[[#This Row],[tackles]]+Estadisticas_jugador[[#This Row],[interceptions]]</f>
        <v>61</v>
      </c>
      <c r="S252">
        <v>0</v>
      </c>
    </row>
    <row r="253" spans="1:19" x14ac:dyDescent="0.3">
      <c r="A253" t="s">
        <v>801</v>
      </c>
      <c r="B253" t="s">
        <v>7</v>
      </c>
      <c r="C253">
        <v>26</v>
      </c>
      <c r="D253">
        <v>23</v>
      </c>
      <c r="E253">
        <v>1801</v>
      </c>
      <c r="F253" t="str">
        <f>IF(Estadisticas_jugador[[#This Row],[minutes_played]]&gt;900, "Si", "No")</f>
        <v>Si</v>
      </c>
      <c r="G253">
        <v>1</v>
      </c>
      <c r="H253">
        <v>1</v>
      </c>
      <c r="I253">
        <v>0.64100000000000001</v>
      </c>
      <c r="J253">
        <v>1.55728899</v>
      </c>
      <c r="K253">
        <v>6.7</v>
      </c>
      <c r="L253">
        <v>15</v>
      </c>
      <c r="M253">
        <v>4</v>
      </c>
      <c r="N253">
        <v>7</v>
      </c>
      <c r="O253">
        <v>0</v>
      </c>
      <c r="P253">
        <v>32</v>
      </c>
      <c r="Q253">
        <v>19</v>
      </c>
      <c r="R253">
        <f>Estadisticas_jugador[[#This Row],[tackles]]+Estadisticas_jugador[[#This Row],[interceptions]]</f>
        <v>51</v>
      </c>
      <c r="S253">
        <v>0</v>
      </c>
    </row>
    <row r="254" spans="1:19" x14ac:dyDescent="0.3">
      <c r="A254" t="s">
        <v>802</v>
      </c>
      <c r="B254" t="s">
        <v>7</v>
      </c>
      <c r="C254">
        <v>21</v>
      </c>
      <c r="D254">
        <v>8</v>
      </c>
      <c r="E254">
        <v>746</v>
      </c>
      <c r="F254" t="str">
        <f>IF(Estadisticas_jugador[[#This Row],[minutes_played]]&gt;900, "Si", "No")</f>
        <v>No</v>
      </c>
      <c r="G254">
        <v>1</v>
      </c>
      <c r="H254">
        <v>1</v>
      </c>
      <c r="I254">
        <v>0.95699999999999996</v>
      </c>
      <c r="J254">
        <v>0.77564012000000004</v>
      </c>
      <c r="K254">
        <v>6.665</v>
      </c>
      <c r="L254">
        <v>9</v>
      </c>
      <c r="M254">
        <v>3</v>
      </c>
      <c r="N254">
        <v>0</v>
      </c>
      <c r="O254">
        <v>0</v>
      </c>
      <c r="P254">
        <v>19</v>
      </c>
      <c r="Q254">
        <v>9</v>
      </c>
      <c r="R254">
        <f>Estadisticas_jugador[[#This Row],[tackles]]+Estadisticas_jugador[[#This Row],[interceptions]]</f>
        <v>28</v>
      </c>
      <c r="S254">
        <v>0</v>
      </c>
    </row>
    <row r="255" spans="1:19" x14ac:dyDescent="0.3">
      <c r="A255" t="s">
        <v>803</v>
      </c>
      <c r="B255" t="s">
        <v>7</v>
      </c>
      <c r="C255">
        <v>28</v>
      </c>
      <c r="D255">
        <v>20</v>
      </c>
      <c r="E255">
        <v>1915</v>
      </c>
      <c r="F255" t="str">
        <f>IF(Estadisticas_jugador[[#This Row],[minutes_played]]&gt;900, "Si", "No")</f>
        <v>Si</v>
      </c>
      <c r="G255">
        <v>0</v>
      </c>
      <c r="H255">
        <v>1</v>
      </c>
      <c r="I255">
        <v>0.60809999999999997</v>
      </c>
      <c r="J255">
        <v>0.54391102999999996</v>
      </c>
      <c r="K255">
        <v>6.6857142857143002</v>
      </c>
      <c r="L255">
        <v>13</v>
      </c>
      <c r="M255">
        <v>1</v>
      </c>
      <c r="N255">
        <v>4</v>
      </c>
      <c r="O255">
        <v>0</v>
      </c>
      <c r="P255">
        <v>42</v>
      </c>
      <c r="Q255">
        <v>22</v>
      </c>
      <c r="R255">
        <f>Estadisticas_jugador[[#This Row],[tackles]]+Estadisticas_jugador[[#This Row],[interceptions]]</f>
        <v>64</v>
      </c>
      <c r="S255">
        <v>0</v>
      </c>
    </row>
    <row r="256" spans="1:19" x14ac:dyDescent="0.3">
      <c r="A256" t="s">
        <v>804</v>
      </c>
      <c r="B256" t="s">
        <v>7</v>
      </c>
      <c r="C256">
        <v>21</v>
      </c>
      <c r="D256">
        <v>8</v>
      </c>
      <c r="E256">
        <v>778</v>
      </c>
      <c r="F256" t="str">
        <f>IF(Estadisticas_jugador[[#This Row],[minutes_played]]&gt;900, "Si", "No")</f>
        <v>No</v>
      </c>
      <c r="G256">
        <v>1</v>
      </c>
      <c r="H256">
        <v>0</v>
      </c>
      <c r="I256">
        <v>1.7762</v>
      </c>
      <c r="J256">
        <v>1.30534357</v>
      </c>
      <c r="K256">
        <v>6.6095238095238003</v>
      </c>
      <c r="L256">
        <v>19</v>
      </c>
      <c r="M256">
        <v>5</v>
      </c>
      <c r="N256">
        <v>1</v>
      </c>
      <c r="O256">
        <v>0</v>
      </c>
      <c r="P256">
        <v>7</v>
      </c>
      <c r="Q256">
        <v>5</v>
      </c>
      <c r="R256">
        <f>Estadisticas_jugador[[#This Row],[tackles]]+Estadisticas_jugador[[#This Row],[interceptions]]</f>
        <v>12</v>
      </c>
      <c r="S256">
        <v>0</v>
      </c>
    </row>
    <row r="257" spans="1:19" x14ac:dyDescent="0.3">
      <c r="A257" t="s">
        <v>805</v>
      </c>
      <c r="B257" t="s">
        <v>7</v>
      </c>
      <c r="C257">
        <v>8</v>
      </c>
      <c r="D257">
        <v>1</v>
      </c>
      <c r="E257">
        <v>126</v>
      </c>
      <c r="F257" t="str">
        <f>IF(Estadisticas_jugador[[#This Row],[minutes_played]]&gt;900, "Si", "No")</f>
        <v>No</v>
      </c>
      <c r="G257">
        <v>0</v>
      </c>
      <c r="H257">
        <v>0</v>
      </c>
      <c r="I257">
        <v>0.15210000000000001</v>
      </c>
      <c r="J257">
        <v>0.15609836999999999</v>
      </c>
      <c r="K257">
        <v>6.4625000000000004</v>
      </c>
      <c r="L257">
        <v>3</v>
      </c>
      <c r="M257">
        <v>0</v>
      </c>
      <c r="N257">
        <v>1</v>
      </c>
      <c r="O257">
        <v>0</v>
      </c>
      <c r="P257">
        <v>4</v>
      </c>
      <c r="Q257">
        <v>0</v>
      </c>
      <c r="R257">
        <f>Estadisticas_jugador[[#This Row],[tackles]]+Estadisticas_jugador[[#This Row],[interceptions]]</f>
        <v>4</v>
      </c>
      <c r="S257">
        <v>0</v>
      </c>
    </row>
    <row r="258" spans="1:19" x14ac:dyDescent="0.3">
      <c r="A258" t="s">
        <v>806</v>
      </c>
      <c r="B258" t="s">
        <v>7</v>
      </c>
      <c r="C258">
        <v>27</v>
      </c>
      <c r="D258">
        <v>24</v>
      </c>
      <c r="E258">
        <v>2097</v>
      </c>
      <c r="F258" t="str">
        <f>IF(Estadisticas_jugador[[#This Row],[minutes_played]]&gt;900, "Si", "No")</f>
        <v>Si</v>
      </c>
      <c r="G258">
        <v>0</v>
      </c>
      <c r="H258">
        <v>2</v>
      </c>
      <c r="I258">
        <v>7.4000000000000003E-3</v>
      </c>
      <c r="J258">
        <v>1.8294982</v>
      </c>
      <c r="K258">
        <v>6.7148148148148001</v>
      </c>
      <c r="L258">
        <v>1</v>
      </c>
      <c r="M258">
        <v>0</v>
      </c>
      <c r="N258">
        <v>5</v>
      </c>
      <c r="O258">
        <v>0</v>
      </c>
      <c r="P258">
        <v>55</v>
      </c>
      <c r="Q258">
        <v>28</v>
      </c>
      <c r="R258">
        <f>Estadisticas_jugador[[#This Row],[tackles]]+Estadisticas_jugador[[#This Row],[interceptions]]</f>
        <v>83</v>
      </c>
      <c r="S258">
        <v>0</v>
      </c>
    </row>
    <row r="259" spans="1:19" x14ac:dyDescent="0.3">
      <c r="A259" t="s">
        <v>807</v>
      </c>
      <c r="B259" t="s">
        <v>7</v>
      </c>
      <c r="C259">
        <v>27</v>
      </c>
      <c r="D259">
        <v>27</v>
      </c>
      <c r="E259">
        <v>2400</v>
      </c>
      <c r="F259" t="str">
        <f>IF(Estadisticas_jugador[[#This Row],[minutes_played]]&gt;900, "Si", "No")</f>
        <v>Si</v>
      </c>
      <c r="G259">
        <v>5</v>
      </c>
      <c r="H259">
        <v>2</v>
      </c>
      <c r="I259">
        <v>2.2804000000000002</v>
      </c>
      <c r="J259">
        <v>2.8239058799999999</v>
      </c>
      <c r="K259">
        <v>6.9222222222222003</v>
      </c>
      <c r="L259">
        <v>29</v>
      </c>
      <c r="M259">
        <v>8</v>
      </c>
      <c r="N259">
        <v>3</v>
      </c>
      <c r="O259">
        <v>0</v>
      </c>
      <c r="P259">
        <v>76</v>
      </c>
      <c r="Q259">
        <v>30</v>
      </c>
      <c r="R259">
        <f>Estadisticas_jugador[[#This Row],[tackles]]+Estadisticas_jugador[[#This Row],[interceptions]]</f>
        <v>106</v>
      </c>
      <c r="S259">
        <v>0</v>
      </c>
    </row>
    <row r="260" spans="1:19" x14ac:dyDescent="0.3">
      <c r="A260" t="s">
        <v>808</v>
      </c>
      <c r="B260" t="s">
        <v>7</v>
      </c>
      <c r="C260">
        <v>28</v>
      </c>
      <c r="D260">
        <v>28</v>
      </c>
      <c r="E260">
        <v>2520</v>
      </c>
      <c r="F260" t="str">
        <f>IF(Estadisticas_jugador[[#This Row],[minutes_played]]&gt;900, "Si", "No")</f>
        <v>Si</v>
      </c>
      <c r="G260">
        <v>3</v>
      </c>
      <c r="H260">
        <v>0</v>
      </c>
      <c r="I260">
        <v>2.3632</v>
      </c>
      <c r="J260">
        <v>1.32878217</v>
      </c>
      <c r="K260">
        <v>6.7892857142857004</v>
      </c>
      <c r="L260">
        <v>32</v>
      </c>
      <c r="M260">
        <v>9</v>
      </c>
      <c r="N260">
        <v>2</v>
      </c>
      <c r="O260">
        <v>0</v>
      </c>
      <c r="P260">
        <v>32</v>
      </c>
      <c r="Q260">
        <v>19</v>
      </c>
      <c r="R260">
        <f>Estadisticas_jugador[[#This Row],[tackles]]+Estadisticas_jugador[[#This Row],[interceptions]]</f>
        <v>51</v>
      </c>
      <c r="S260">
        <v>0</v>
      </c>
    </row>
    <row r="261" spans="1:19" x14ac:dyDescent="0.3">
      <c r="A261" t="s">
        <v>809</v>
      </c>
      <c r="B261" t="s">
        <v>7</v>
      </c>
      <c r="C261">
        <v>16</v>
      </c>
      <c r="D261">
        <v>13</v>
      </c>
      <c r="E261">
        <v>1120</v>
      </c>
      <c r="F261" t="str">
        <f>IF(Estadisticas_jugador[[#This Row],[minutes_played]]&gt;900, "Si", "No")</f>
        <v>Si</v>
      </c>
      <c r="G261">
        <v>0</v>
      </c>
      <c r="H261">
        <v>1</v>
      </c>
      <c r="I261">
        <v>0.128</v>
      </c>
      <c r="J261">
        <v>0.18276959000000001</v>
      </c>
      <c r="K261">
        <v>6.7437500000000004</v>
      </c>
      <c r="L261">
        <v>3</v>
      </c>
      <c r="M261">
        <v>1</v>
      </c>
      <c r="N261">
        <v>4</v>
      </c>
      <c r="O261">
        <v>0</v>
      </c>
      <c r="P261">
        <v>23</v>
      </c>
      <c r="Q261">
        <v>10</v>
      </c>
      <c r="R261">
        <f>Estadisticas_jugador[[#This Row],[tackles]]+Estadisticas_jugador[[#This Row],[interceptions]]</f>
        <v>33</v>
      </c>
      <c r="S261">
        <v>0</v>
      </c>
    </row>
    <row r="262" spans="1:19" x14ac:dyDescent="0.3">
      <c r="A262" t="s">
        <v>810</v>
      </c>
      <c r="B262" t="s">
        <v>7</v>
      </c>
      <c r="C262">
        <v>21</v>
      </c>
      <c r="D262">
        <v>18</v>
      </c>
      <c r="E262">
        <v>1596</v>
      </c>
      <c r="F262" t="str">
        <f>IF(Estadisticas_jugador[[#This Row],[minutes_played]]&gt;900, "Si", "No")</f>
        <v>Si</v>
      </c>
      <c r="G262">
        <v>0</v>
      </c>
      <c r="H262">
        <v>0</v>
      </c>
      <c r="I262">
        <v>1.5790999999999999</v>
      </c>
      <c r="J262">
        <v>0.10234442000000001</v>
      </c>
      <c r="K262">
        <v>6.8380952380951996</v>
      </c>
      <c r="L262">
        <v>9</v>
      </c>
      <c r="M262">
        <v>1</v>
      </c>
      <c r="N262">
        <v>3</v>
      </c>
      <c r="O262">
        <v>0</v>
      </c>
      <c r="P262">
        <v>22</v>
      </c>
      <c r="Q262">
        <v>22</v>
      </c>
      <c r="R262">
        <f>Estadisticas_jugador[[#This Row],[tackles]]+Estadisticas_jugador[[#This Row],[interceptions]]</f>
        <v>44</v>
      </c>
      <c r="S262">
        <v>0</v>
      </c>
    </row>
    <row r="263" spans="1:19" x14ac:dyDescent="0.3">
      <c r="A263" t="s">
        <v>811</v>
      </c>
      <c r="B263" t="s">
        <v>7</v>
      </c>
      <c r="C263">
        <v>10</v>
      </c>
      <c r="D263">
        <v>2</v>
      </c>
      <c r="E263">
        <v>253</v>
      </c>
      <c r="F263" t="str">
        <f>IF(Estadisticas_jugador[[#This Row],[minutes_played]]&gt;900, "Si", "No")</f>
        <v>No</v>
      </c>
      <c r="G263">
        <v>0</v>
      </c>
      <c r="H263">
        <v>0</v>
      </c>
      <c r="J263">
        <v>0.33498742999999997</v>
      </c>
      <c r="K263">
        <v>6.4333333333332998</v>
      </c>
      <c r="L263">
        <v>0</v>
      </c>
      <c r="M263">
        <v>0</v>
      </c>
      <c r="N263">
        <v>2</v>
      </c>
      <c r="O263">
        <v>0</v>
      </c>
      <c r="P263">
        <v>2</v>
      </c>
      <c r="Q263">
        <v>2</v>
      </c>
      <c r="R263">
        <f>Estadisticas_jugador[[#This Row],[tackles]]+Estadisticas_jugador[[#This Row],[interceptions]]</f>
        <v>4</v>
      </c>
      <c r="S263">
        <v>0</v>
      </c>
    </row>
    <row r="264" spans="1:19" x14ac:dyDescent="0.3">
      <c r="A264" t="s">
        <v>812</v>
      </c>
      <c r="B264" t="s">
        <v>7</v>
      </c>
      <c r="C264">
        <v>11</v>
      </c>
      <c r="D264">
        <v>1</v>
      </c>
      <c r="E264">
        <v>218</v>
      </c>
      <c r="F264" t="str">
        <f>IF(Estadisticas_jugador[[#This Row],[minutes_played]]&gt;900, "Si", "No")</f>
        <v>No</v>
      </c>
      <c r="G264">
        <v>1</v>
      </c>
      <c r="H264">
        <v>0</v>
      </c>
      <c r="I264">
        <v>0.72</v>
      </c>
      <c r="J264">
        <v>5.8289500000000003E-3</v>
      </c>
      <c r="K264">
        <v>6.8111111111111002</v>
      </c>
      <c r="L264">
        <v>2</v>
      </c>
      <c r="M264">
        <v>1</v>
      </c>
      <c r="N264">
        <v>0</v>
      </c>
      <c r="O264">
        <v>0</v>
      </c>
      <c r="P264">
        <v>4</v>
      </c>
      <c r="Q264">
        <v>1</v>
      </c>
      <c r="R264">
        <f>Estadisticas_jugador[[#This Row],[tackles]]+Estadisticas_jugador[[#This Row],[interceptions]]</f>
        <v>5</v>
      </c>
      <c r="S264">
        <v>0</v>
      </c>
    </row>
    <row r="265" spans="1:19" x14ac:dyDescent="0.3">
      <c r="A265" t="s">
        <v>813</v>
      </c>
      <c r="B265" t="s">
        <v>7</v>
      </c>
      <c r="C265">
        <v>14</v>
      </c>
      <c r="D265">
        <v>4</v>
      </c>
      <c r="E265">
        <v>509</v>
      </c>
      <c r="F265" t="str">
        <f>IF(Estadisticas_jugador[[#This Row],[minutes_played]]&gt;900, "Si", "No")</f>
        <v>No</v>
      </c>
      <c r="G265">
        <v>0</v>
      </c>
      <c r="H265">
        <v>1</v>
      </c>
      <c r="I265">
        <v>5.2600000000000001E-2</v>
      </c>
      <c r="J265">
        <v>1.0120841300000001</v>
      </c>
      <c r="K265">
        <v>6.7571428571428998</v>
      </c>
      <c r="L265">
        <v>3</v>
      </c>
      <c r="M265">
        <v>0</v>
      </c>
      <c r="N265">
        <v>2</v>
      </c>
      <c r="O265">
        <v>0</v>
      </c>
      <c r="P265">
        <v>5</v>
      </c>
      <c r="Q265">
        <v>9</v>
      </c>
      <c r="R265">
        <f>Estadisticas_jugador[[#This Row],[tackles]]+Estadisticas_jugador[[#This Row],[interceptions]]</f>
        <v>14</v>
      </c>
      <c r="S265">
        <v>0</v>
      </c>
    </row>
    <row r="266" spans="1:19" x14ac:dyDescent="0.3">
      <c r="A266" t="s">
        <v>814</v>
      </c>
      <c r="B266" t="s">
        <v>7</v>
      </c>
      <c r="C266">
        <v>29</v>
      </c>
      <c r="D266">
        <v>29</v>
      </c>
      <c r="E266">
        <v>2610</v>
      </c>
      <c r="F266" t="str">
        <f>IF(Estadisticas_jugador[[#This Row],[minutes_played]]&gt;900, "Si", "No")</f>
        <v>Si</v>
      </c>
      <c r="G266">
        <v>0</v>
      </c>
      <c r="H266">
        <v>0</v>
      </c>
      <c r="J266">
        <v>0.13464978999999999</v>
      </c>
      <c r="K266">
        <v>7.0413793103447997</v>
      </c>
      <c r="L266">
        <v>0</v>
      </c>
      <c r="M266">
        <v>0</v>
      </c>
      <c r="N266">
        <v>0</v>
      </c>
      <c r="O266">
        <v>0</v>
      </c>
      <c r="P266">
        <v>3</v>
      </c>
      <c r="Q266">
        <v>0</v>
      </c>
      <c r="R266">
        <f>Estadisticas_jugador[[#This Row],[tackles]]+Estadisticas_jugador[[#This Row],[interceptions]]</f>
        <v>3</v>
      </c>
      <c r="S266">
        <v>96</v>
      </c>
    </row>
    <row r="267" spans="1:19" x14ac:dyDescent="0.3">
      <c r="A267" t="s">
        <v>815</v>
      </c>
      <c r="B267" t="s">
        <v>7</v>
      </c>
      <c r="C267">
        <v>23</v>
      </c>
      <c r="D267">
        <v>13</v>
      </c>
      <c r="E267">
        <v>1133</v>
      </c>
      <c r="F267" t="str">
        <f>IF(Estadisticas_jugador[[#This Row],[minutes_played]]&gt;900, "Si", "No")</f>
        <v>Si</v>
      </c>
      <c r="G267">
        <v>1</v>
      </c>
      <c r="H267">
        <v>2</v>
      </c>
      <c r="I267">
        <v>2.8353000000000002</v>
      </c>
      <c r="J267">
        <v>1.3898928100000001</v>
      </c>
      <c r="K267">
        <v>6.6086956521738998</v>
      </c>
      <c r="L267">
        <v>28</v>
      </c>
      <c r="M267">
        <v>8</v>
      </c>
      <c r="N267">
        <v>1</v>
      </c>
      <c r="O267">
        <v>0</v>
      </c>
      <c r="P267">
        <v>18</v>
      </c>
      <c r="Q267">
        <v>4</v>
      </c>
      <c r="R267">
        <f>Estadisticas_jugador[[#This Row],[tackles]]+Estadisticas_jugador[[#This Row],[interceptions]]</f>
        <v>22</v>
      </c>
      <c r="S267">
        <v>0</v>
      </c>
    </row>
    <row r="268" spans="1:19" x14ac:dyDescent="0.3">
      <c r="A268" t="s">
        <v>816</v>
      </c>
      <c r="B268" t="s">
        <v>7</v>
      </c>
      <c r="C268">
        <v>26</v>
      </c>
      <c r="D268">
        <v>18</v>
      </c>
      <c r="E268">
        <v>1559</v>
      </c>
      <c r="F268" t="str">
        <f>IF(Estadisticas_jugador[[#This Row],[minutes_played]]&gt;900, "Si", "No")</f>
        <v>Si</v>
      </c>
      <c r="G268">
        <v>3</v>
      </c>
      <c r="H268">
        <v>2</v>
      </c>
      <c r="I268">
        <v>4.6052</v>
      </c>
      <c r="J268">
        <v>2.59202903</v>
      </c>
      <c r="K268">
        <v>6.7961538461537998</v>
      </c>
      <c r="L268">
        <v>35</v>
      </c>
      <c r="M268">
        <v>14</v>
      </c>
      <c r="N268">
        <v>0</v>
      </c>
      <c r="O268">
        <v>0</v>
      </c>
      <c r="P268">
        <v>12</v>
      </c>
      <c r="Q268">
        <v>1</v>
      </c>
      <c r="R268">
        <f>Estadisticas_jugador[[#This Row],[tackles]]+Estadisticas_jugador[[#This Row],[interceptions]]</f>
        <v>13</v>
      </c>
      <c r="S268">
        <v>0</v>
      </c>
    </row>
    <row r="269" spans="1:19" x14ac:dyDescent="0.3">
      <c r="A269" t="s">
        <v>817</v>
      </c>
      <c r="B269" t="s">
        <v>7</v>
      </c>
      <c r="C269">
        <v>16</v>
      </c>
      <c r="D269">
        <v>6</v>
      </c>
      <c r="E269">
        <v>646</v>
      </c>
      <c r="F269" t="str">
        <f>IF(Estadisticas_jugador[[#This Row],[minutes_played]]&gt;900, "Si", "No")</f>
        <v>No</v>
      </c>
      <c r="G269">
        <v>1</v>
      </c>
      <c r="H269">
        <v>1</v>
      </c>
      <c r="I269">
        <v>1.3743000000000001</v>
      </c>
      <c r="J269">
        <v>0.84277568000000003</v>
      </c>
      <c r="K269">
        <v>6.625</v>
      </c>
      <c r="L269">
        <v>15</v>
      </c>
      <c r="M269">
        <v>4</v>
      </c>
      <c r="N269">
        <v>3</v>
      </c>
      <c r="O269">
        <v>0</v>
      </c>
      <c r="P269">
        <v>2</v>
      </c>
      <c r="Q269">
        <v>1</v>
      </c>
      <c r="R269">
        <f>Estadisticas_jugador[[#This Row],[tackles]]+Estadisticas_jugador[[#This Row],[interceptions]]</f>
        <v>3</v>
      </c>
      <c r="S269">
        <v>0</v>
      </c>
    </row>
    <row r="270" spans="1:19" x14ac:dyDescent="0.3">
      <c r="A270" t="s">
        <v>818</v>
      </c>
      <c r="B270" t="s">
        <v>7</v>
      </c>
      <c r="C270">
        <v>28</v>
      </c>
      <c r="D270">
        <v>17</v>
      </c>
      <c r="E270">
        <v>1563</v>
      </c>
      <c r="F270" t="str">
        <f>IF(Estadisticas_jugador[[#This Row],[minutes_played]]&gt;900, "Si", "No")</f>
        <v>Si</v>
      </c>
      <c r="G270">
        <v>9</v>
      </c>
      <c r="H270">
        <v>0</v>
      </c>
      <c r="I270">
        <v>6.7836999999999996</v>
      </c>
      <c r="J270">
        <v>0.79422537999999998</v>
      </c>
      <c r="K270">
        <v>6.7321428571429003</v>
      </c>
      <c r="L270">
        <v>28</v>
      </c>
      <c r="M270">
        <v>12</v>
      </c>
      <c r="N270">
        <v>5</v>
      </c>
      <c r="O270">
        <v>0</v>
      </c>
      <c r="P270">
        <v>12</v>
      </c>
      <c r="Q270">
        <v>3</v>
      </c>
      <c r="R270">
        <f>Estadisticas_jugador[[#This Row],[tackles]]+Estadisticas_jugador[[#This Row],[interceptions]]</f>
        <v>15</v>
      </c>
      <c r="S270">
        <v>0</v>
      </c>
    </row>
    <row r="271" spans="1:19" x14ac:dyDescent="0.3">
      <c r="A271" t="s">
        <v>819</v>
      </c>
      <c r="B271" t="s">
        <v>7</v>
      </c>
      <c r="C271">
        <v>18</v>
      </c>
      <c r="D271">
        <v>6</v>
      </c>
      <c r="E271">
        <v>721</v>
      </c>
      <c r="F271" t="str">
        <f>IF(Estadisticas_jugador[[#This Row],[minutes_played]]&gt;900, "Si", "No")</f>
        <v>No</v>
      </c>
      <c r="G271">
        <v>5</v>
      </c>
      <c r="H271">
        <v>1</v>
      </c>
      <c r="I271">
        <v>4.8259999999999996</v>
      </c>
      <c r="J271">
        <v>1.5186002700000001</v>
      </c>
      <c r="K271">
        <v>6.8222222222221998</v>
      </c>
      <c r="L271">
        <v>29</v>
      </c>
      <c r="M271">
        <v>12</v>
      </c>
      <c r="N271">
        <v>4</v>
      </c>
      <c r="O271">
        <v>0</v>
      </c>
      <c r="P271">
        <v>6</v>
      </c>
      <c r="Q271">
        <v>10</v>
      </c>
      <c r="R271">
        <f>Estadisticas_jugador[[#This Row],[tackles]]+Estadisticas_jugador[[#This Row],[interceptions]]</f>
        <v>16</v>
      </c>
      <c r="S271">
        <v>0</v>
      </c>
    </row>
    <row r="272" spans="1:19" x14ac:dyDescent="0.3">
      <c r="A272" t="s">
        <v>820</v>
      </c>
      <c r="B272" t="s">
        <v>7</v>
      </c>
      <c r="C272">
        <v>12</v>
      </c>
      <c r="D272">
        <v>3</v>
      </c>
      <c r="E272">
        <v>283</v>
      </c>
      <c r="F272" t="str">
        <f>IF(Estadisticas_jugador[[#This Row],[minutes_played]]&gt;900, "Si", "No")</f>
        <v>No</v>
      </c>
      <c r="G272">
        <v>0</v>
      </c>
      <c r="H272">
        <v>1</v>
      </c>
      <c r="I272">
        <v>0.21049999999999999</v>
      </c>
      <c r="J272">
        <v>0.36788854999999998</v>
      </c>
      <c r="K272">
        <v>6.5727272727272998</v>
      </c>
      <c r="L272">
        <v>8</v>
      </c>
      <c r="M272">
        <v>1</v>
      </c>
      <c r="N272">
        <v>0</v>
      </c>
      <c r="O272">
        <v>0</v>
      </c>
      <c r="P272">
        <v>7</v>
      </c>
      <c r="Q272">
        <v>4</v>
      </c>
      <c r="R272">
        <f>Estadisticas_jugador[[#This Row],[tackles]]+Estadisticas_jugador[[#This Row],[interceptions]]</f>
        <v>11</v>
      </c>
      <c r="S272">
        <v>0</v>
      </c>
    </row>
    <row r="273" spans="1:19" x14ac:dyDescent="0.3">
      <c r="A273" t="s">
        <v>821</v>
      </c>
      <c r="B273" t="s">
        <v>7</v>
      </c>
      <c r="C273">
        <v>7</v>
      </c>
      <c r="D273">
        <v>5</v>
      </c>
      <c r="E273">
        <v>498</v>
      </c>
      <c r="F273" t="str">
        <f>IF(Estadisticas_jugador[[#This Row],[minutes_played]]&gt;900, "Si", "No")</f>
        <v>No</v>
      </c>
      <c r="G273">
        <v>0</v>
      </c>
      <c r="H273">
        <v>0</v>
      </c>
      <c r="I273">
        <v>0.28549999999999998</v>
      </c>
      <c r="J273">
        <v>0.28578100000000001</v>
      </c>
      <c r="K273">
        <v>6.9428571428571004</v>
      </c>
      <c r="L273">
        <v>6</v>
      </c>
      <c r="M273">
        <v>0</v>
      </c>
      <c r="N273">
        <v>0</v>
      </c>
      <c r="O273">
        <v>0</v>
      </c>
      <c r="P273">
        <v>19</v>
      </c>
      <c r="Q273">
        <v>3</v>
      </c>
      <c r="R273">
        <f>Estadisticas_jugador[[#This Row],[tackles]]+Estadisticas_jugador[[#This Row],[interceptions]]</f>
        <v>22</v>
      </c>
      <c r="S273">
        <v>0</v>
      </c>
    </row>
    <row r="274" spans="1:19" x14ac:dyDescent="0.3">
      <c r="A274" t="s">
        <v>822</v>
      </c>
      <c r="B274" t="s">
        <v>7</v>
      </c>
      <c r="C274">
        <v>28</v>
      </c>
      <c r="D274">
        <v>18</v>
      </c>
      <c r="E274">
        <v>1515</v>
      </c>
      <c r="F274" t="str">
        <f>IF(Estadisticas_jugador[[#This Row],[minutes_played]]&gt;900, "Si", "No")</f>
        <v>Si</v>
      </c>
      <c r="G274">
        <v>1</v>
      </c>
      <c r="H274">
        <v>3</v>
      </c>
      <c r="I274">
        <v>1.7376</v>
      </c>
      <c r="J274">
        <v>1.70754505</v>
      </c>
      <c r="K274">
        <v>6.6925925925926002</v>
      </c>
      <c r="L274">
        <v>18</v>
      </c>
      <c r="M274">
        <v>6</v>
      </c>
      <c r="N274">
        <v>3</v>
      </c>
      <c r="O274">
        <v>0</v>
      </c>
      <c r="P274">
        <v>22</v>
      </c>
      <c r="Q274">
        <v>19</v>
      </c>
      <c r="R274">
        <f>Estadisticas_jugador[[#This Row],[tackles]]+Estadisticas_jugador[[#This Row],[interceptions]]</f>
        <v>41</v>
      </c>
      <c r="S274">
        <v>0</v>
      </c>
    </row>
    <row r="275" spans="1:19" x14ac:dyDescent="0.3">
      <c r="A275" t="s">
        <v>823</v>
      </c>
      <c r="B275" t="s">
        <v>7</v>
      </c>
      <c r="C275">
        <v>23</v>
      </c>
      <c r="D275">
        <v>20</v>
      </c>
      <c r="E275">
        <v>1710</v>
      </c>
      <c r="F275" t="str">
        <f>IF(Estadisticas_jugador[[#This Row],[minutes_played]]&gt;900, "Si", "No")</f>
        <v>Si</v>
      </c>
      <c r="G275">
        <v>2</v>
      </c>
      <c r="H275">
        <v>0</v>
      </c>
      <c r="I275">
        <v>3.5</v>
      </c>
      <c r="J275">
        <v>2.0072712400000001</v>
      </c>
      <c r="K275">
        <v>7.0318181818182</v>
      </c>
      <c r="L275">
        <v>22</v>
      </c>
      <c r="M275">
        <v>3</v>
      </c>
      <c r="N275">
        <v>3</v>
      </c>
      <c r="O275">
        <v>0</v>
      </c>
      <c r="P275">
        <v>49</v>
      </c>
      <c r="Q275">
        <v>17</v>
      </c>
      <c r="R275">
        <f>Estadisticas_jugador[[#This Row],[tackles]]+Estadisticas_jugador[[#This Row],[interceptions]]</f>
        <v>66</v>
      </c>
      <c r="S275">
        <v>0</v>
      </c>
    </row>
    <row r="276" spans="1:19" x14ac:dyDescent="0.3">
      <c r="A276" t="s">
        <v>824</v>
      </c>
      <c r="B276" t="s">
        <v>7</v>
      </c>
      <c r="C276">
        <v>26</v>
      </c>
      <c r="D276">
        <v>15</v>
      </c>
      <c r="E276">
        <v>1345</v>
      </c>
      <c r="F276" t="str">
        <f>IF(Estadisticas_jugador[[#This Row],[minutes_played]]&gt;900, "Si", "No")</f>
        <v>Si</v>
      </c>
      <c r="G276">
        <v>3</v>
      </c>
      <c r="H276">
        <v>0</v>
      </c>
      <c r="I276">
        <v>2.2277999999999998</v>
      </c>
      <c r="J276">
        <v>1.27831498</v>
      </c>
      <c r="K276">
        <v>6.6615384615385</v>
      </c>
      <c r="L276">
        <v>21</v>
      </c>
      <c r="M276">
        <v>5</v>
      </c>
      <c r="N276">
        <v>2</v>
      </c>
      <c r="O276">
        <v>0</v>
      </c>
      <c r="P276">
        <v>13</v>
      </c>
      <c r="Q276">
        <v>8</v>
      </c>
      <c r="R276">
        <f>Estadisticas_jugador[[#This Row],[tackles]]+Estadisticas_jugador[[#This Row],[interceptions]]</f>
        <v>21</v>
      </c>
      <c r="S276">
        <v>0</v>
      </c>
    </row>
    <row r="277" spans="1:19" x14ac:dyDescent="0.3">
      <c r="A277" t="s">
        <v>825</v>
      </c>
      <c r="B277" t="s">
        <v>7</v>
      </c>
      <c r="C277">
        <v>18</v>
      </c>
      <c r="D277">
        <v>10</v>
      </c>
      <c r="E277">
        <v>939</v>
      </c>
      <c r="F277" t="str">
        <f>IF(Estadisticas_jugador[[#This Row],[minutes_played]]&gt;900, "Si", "No")</f>
        <v>Si</v>
      </c>
      <c r="G277">
        <v>0</v>
      </c>
      <c r="H277">
        <v>1</v>
      </c>
      <c r="I277">
        <v>0.55349999999999999</v>
      </c>
      <c r="J277">
        <v>1.79573589</v>
      </c>
      <c r="K277">
        <v>6.9764705882353004</v>
      </c>
      <c r="L277">
        <v>8</v>
      </c>
      <c r="M277">
        <v>2</v>
      </c>
      <c r="N277">
        <v>0</v>
      </c>
      <c r="O277">
        <v>0</v>
      </c>
      <c r="P277">
        <v>22</v>
      </c>
      <c r="Q277">
        <v>10</v>
      </c>
      <c r="R277">
        <f>Estadisticas_jugador[[#This Row],[tackles]]+Estadisticas_jugador[[#This Row],[interceptions]]</f>
        <v>32</v>
      </c>
      <c r="S277">
        <v>0</v>
      </c>
    </row>
    <row r="278" spans="1:19" x14ac:dyDescent="0.3">
      <c r="A278" t="s">
        <v>826</v>
      </c>
      <c r="B278" t="s">
        <v>7</v>
      </c>
      <c r="C278">
        <v>28</v>
      </c>
      <c r="D278">
        <v>23</v>
      </c>
      <c r="E278">
        <v>1963</v>
      </c>
      <c r="F278" t="str">
        <f>IF(Estadisticas_jugador[[#This Row],[minutes_played]]&gt;900, "Si", "No")</f>
        <v>Si</v>
      </c>
      <c r="G278">
        <v>2</v>
      </c>
      <c r="H278">
        <v>5</v>
      </c>
      <c r="I278">
        <v>1.7814000000000001</v>
      </c>
      <c r="J278">
        <v>3.3102295000000002</v>
      </c>
      <c r="K278">
        <v>6.7428571428571002</v>
      </c>
      <c r="L278">
        <v>33</v>
      </c>
      <c r="M278">
        <v>4</v>
      </c>
      <c r="N278">
        <v>1</v>
      </c>
      <c r="O278">
        <v>0</v>
      </c>
      <c r="P278">
        <v>22</v>
      </c>
      <c r="Q278">
        <v>14</v>
      </c>
      <c r="R278">
        <f>Estadisticas_jugador[[#This Row],[tackles]]+Estadisticas_jugador[[#This Row],[interceptions]]</f>
        <v>36</v>
      </c>
      <c r="S278">
        <v>0</v>
      </c>
    </row>
    <row r="279" spans="1:19" x14ac:dyDescent="0.3">
      <c r="A279" t="s">
        <v>827</v>
      </c>
      <c r="B279" t="s">
        <v>7</v>
      </c>
      <c r="C279">
        <v>18</v>
      </c>
      <c r="D279">
        <v>12</v>
      </c>
      <c r="E279">
        <v>1040</v>
      </c>
      <c r="F279" t="str">
        <f>IF(Estadisticas_jugador[[#This Row],[minutes_played]]&gt;900, "Si", "No")</f>
        <v>Si</v>
      </c>
      <c r="G279">
        <v>0</v>
      </c>
      <c r="H279">
        <v>3</v>
      </c>
      <c r="I279">
        <v>0.73919999999999997</v>
      </c>
      <c r="J279">
        <v>1.5725022500000001</v>
      </c>
      <c r="K279">
        <v>6.7722222222221999</v>
      </c>
      <c r="L279">
        <v>15</v>
      </c>
      <c r="M279">
        <v>2</v>
      </c>
      <c r="N279">
        <v>3</v>
      </c>
      <c r="O279">
        <v>0</v>
      </c>
      <c r="P279">
        <v>15</v>
      </c>
      <c r="Q279">
        <v>7</v>
      </c>
      <c r="R279">
        <f>Estadisticas_jugador[[#This Row],[tackles]]+Estadisticas_jugador[[#This Row],[interceptions]]</f>
        <v>22</v>
      </c>
      <c r="S279">
        <v>0</v>
      </c>
    </row>
    <row r="280" spans="1:19" x14ac:dyDescent="0.3">
      <c r="A280" t="s">
        <v>828</v>
      </c>
      <c r="B280" t="s">
        <v>7</v>
      </c>
      <c r="C280">
        <v>19</v>
      </c>
      <c r="D280">
        <v>7</v>
      </c>
      <c r="E280">
        <v>775</v>
      </c>
      <c r="F280" t="str">
        <f>IF(Estadisticas_jugador[[#This Row],[minutes_played]]&gt;900, "Si", "No")</f>
        <v>No</v>
      </c>
      <c r="G280">
        <v>1</v>
      </c>
      <c r="H280">
        <v>1</v>
      </c>
      <c r="I280">
        <v>0.36499999999999999</v>
      </c>
      <c r="J280">
        <v>0.80632760999999997</v>
      </c>
      <c r="K280">
        <v>6.8333333333333002</v>
      </c>
      <c r="L280">
        <v>6</v>
      </c>
      <c r="M280">
        <v>2</v>
      </c>
      <c r="N280">
        <v>2</v>
      </c>
      <c r="O280">
        <v>0</v>
      </c>
      <c r="P280">
        <v>12</v>
      </c>
      <c r="Q280">
        <v>7</v>
      </c>
      <c r="R280">
        <f>Estadisticas_jugador[[#This Row],[tackles]]+Estadisticas_jugador[[#This Row],[interceptions]]</f>
        <v>19</v>
      </c>
      <c r="S280">
        <v>0</v>
      </c>
    </row>
    <row r="281" spans="1:19" x14ac:dyDescent="0.3">
      <c r="A281" t="s">
        <v>829</v>
      </c>
      <c r="B281" t="s">
        <v>7</v>
      </c>
      <c r="C281">
        <v>8</v>
      </c>
      <c r="D281">
        <v>7</v>
      </c>
      <c r="E281">
        <v>544</v>
      </c>
      <c r="F281" t="str">
        <f>IF(Estadisticas_jugador[[#This Row],[minutes_played]]&gt;900, "Si", "No")</f>
        <v>No</v>
      </c>
      <c r="G281">
        <v>1</v>
      </c>
      <c r="H281">
        <v>0</v>
      </c>
      <c r="I281">
        <v>0.53190000000000004</v>
      </c>
      <c r="J281">
        <v>7.3605000000000004E-2</v>
      </c>
      <c r="K281">
        <v>6.8142857142856998</v>
      </c>
      <c r="L281">
        <v>4</v>
      </c>
      <c r="M281">
        <v>3</v>
      </c>
      <c r="N281">
        <v>3</v>
      </c>
      <c r="O281">
        <v>0</v>
      </c>
      <c r="P281">
        <v>8</v>
      </c>
      <c r="Q281">
        <v>10</v>
      </c>
      <c r="R281">
        <f>Estadisticas_jugador[[#This Row],[tackles]]+Estadisticas_jugador[[#This Row],[interceptions]]</f>
        <v>18</v>
      </c>
      <c r="S281">
        <v>0</v>
      </c>
    </row>
    <row r="282" spans="1:19" x14ac:dyDescent="0.3">
      <c r="A282" t="s">
        <v>830</v>
      </c>
      <c r="B282" t="s">
        <v>7</v>
      </c>
      <c r="C282">
        <v>25</v>
      </c>
      <c r="D282">
        <v>24</v>
      </c>
      <c r="E282">
        <v>1902</v>
      </c>
      <c r="F282" t="str">
        <f>IF(Estadisticas_jugador[[#This Row],[minutes_played]]&gt;900, "Si", "No")</f>
        <v>Si</v>
      </c>
      <c r="G282">
        <v>1</v>
      </c>
      <c r="H282">
        <v>1</v>
      </c>
      <c r="I282">
        <v>0.67130000000000001</v>
      </c>
      <c r="J282">
        <v>1.70185553</v>
      </c>
      <c r="K282">
        <v>6.54</v>
      </c>
      <c r="L282">
        <v>9</v>
      </c>
      <c r="M282">
        <v>2</v>
      </c>
      <c r="N282">
        <v>6</v>
      </c>
      <c r="O282">
        <v>1</v>
      </c>
      <c r="P282">
        <v>53</v>
      </c>
      <c r="Q282">
        <v>15</v>
      </c>
      <c r="R282">
        <f>Estadisticas_jugador[[#This Row],[tackles]]+Estadisticas_jugador[[#This Row],[interceptions]]</f>
        <v>68</v>
      </c>
      <c r="S282">
        <v>0</v>
      </c>
    </row>
    <row r="283" spans="1:19" x14ac:dyDescent="0.3">
      <c r="A283" t="s">
        <v>831</v>
      </c>
      <c r="B283" t="s">
        <v>7</v>
      </c>
      <c r="C283">
        <v>7</v>
      </c>
      <c r="D283">
        <v>7</v>
      </c>
      <c r="E283">
        <v>592</v>
      </c>
      <c r="F283" t="str">
        <f>IF(Estadisticas_jugador[[#This Row],[minutes_played]]&gt;900, "Si", "No")</f>
        <v>No</v>
      </c>
      <c r="G283">
        <v>0</v>
      </c>
      <c r="H283">
        <v>0</v>
      </c>
      <c r="I283">
        <v>0.21299999999999999</v>
      </c>
      <c r="J283">
        <v>7.9150090000000006E-2</v>
      </c>
      <c r="K283">
        <v>6.7714285714285998</v>
      </c>
      <c r="L283">
        <v>5</v>
      </c>
      <c r="M283">
        <v>0</v>
      </c>
      <c r="N283">
        <v>2</v>
      </c>
      <c r="O283">
        <v>0</v>
      </c>
      <c r="P283">
        <v>15</v>
      </c>
      <c r="Q283">
        <v>6</v>
      </c>
      <c r="R283">
        <f>Estadisticas_jugador[[#This Row],[tackles]]+Estadisticas_jugador[[#This Row],[interceptions]]</f>
        <v>21</v>
      </c>
      <c r="S283">
        <v>0</v>
      </c>
    </row>
    <row r="284" spans="1:19" x14ac:dyDescent="0.3">
      <c r="A284" t="s">
        <v>832</v>
      </c>
      <c r="B284" t="s">
        <v>7</v>
      </c>
      <c r="C284">
        <v>23</v>
      </c>
      <c r="D284">
        <v>20</v>
      </c>
      <c r="E284">
        <v>1787</v>
      </c>
      <c r="F284" t="str">
        <f>IF(Estadisticas_jugador[[#This Row],[minutes_played]]&gt;900, "Si", "No")</f>
        <v>Si</v>
      </c>
      <c r="G284">
        <v>0</v>
      </c>
      <c r="H284">
        <v>0</v>
      </c>
      <c r="I284">
        <v>0.26269999999999999</v>
      </c>
      <c r="J284">
        <v>0.10372951</v>
      </c>
      <c r="K284">
        <v>6.7217391304348002</v>
      </c>
      <c r="L284">
        <v>7</v>
      </c>
      <c r="M284">
        <v>1</v>
      </c>
      <c r="N284">
        <v>6</v>
      </c>
      <c r="O284">
        <v>0</v>
      </c>
      <c r="P284">
        <v>31</v>
      </c>
      <c r="Q284">
        <v>18</v>
      </c>
      <c r="R284">
        <f>Estadisticas_jugador[[#This Row],[tackles]]+Estadisticas_jugador[[#This Row],[interceptions]]</f>
        <v>49</v>
      </c>
      <c r="S284">
        <v>0</v>
      </c>
    </row>
    <row r="285" spans="1:19" x14ac:dyDescent="0.3">
      <c r="A285" t="s">
        <v>833</v>
      </c>
      <c r="B285" t="s">
        <v>7</v>
      </c>
      <c r="C285">
        <v>19</v>
      </c>
      <c r="D285">
        <v>15</v>
      </c>
      <c r="E285">
        <v>1239</v>
      </c>
      <c r="F285" t="str">
        <f>IF(Estadisticas_jugador[[#This Row],[minutes_played]]&gt;900, "Si", "No")</f>
        <v>Si</v>
      </c>
      <c r="G285">
        <v>0</v>
      </c>
      <c r="H285">
        <v>1</v>
      </c>
      <c r="I285">
        <v>0.35110000000000002</v>
      </c>
      <c r="J285">
        <v>1.7273828899999999</v>
      </c>
      <c r="K285">
        <v>6.5263157894737001</v>
      </c>
      <c r="L285">
        <v>5</v>
      </c>
      <c r="M285">
        <v>1</v>
      </c>
      <c r="N285">
        <v>4</v>
      </c>
      <c r="O285">
        <v>0</v>
      </c>
      <c r="P285">
        <v>27</v>
      </c>
      <c r="Q285">
        <v>16</v>
      </c>
      <c r="R285">
        <f>Estadisticas_jugador[[#This Row],[tackles]]+Estadisticas_jugador[[#This Row],[interceptions]]</f>
        <v>43</v>
      </c>
      <c r="S285">
        <v>0</v>
      </c>
    </row>
    <row r="286" spans="1:19" x14ac:dyDescent="0.3">
      <c r="A286" t="s">
        <v>834</v>
      </c>
      <c r="B286" t="s">
        <v>7</v>
      </c>
      <c r="C286">
        <v>12</v>
      </c>
      <c r="D286">
        <v>10</v>
      </c>
      <c r="E286">
        <v>924</v>
      </c>
      <c r="F286" t="str">
        <f>IF(Estadisticas_jugador[[#This Row],[minutes_played]]&gt;900, "Si", "No")</f>
        <v>Si</v>
      </c>
      <c r="G286">
        <v>2</v>
      </c>
      <c r="H286">
        <v>0</v>
      </c>
      <c r="I286">
        <v>0.85850000000000004</v>
      </c>
      <c r="J286">
        <v>0.20476636000000001</v>
      </c>
      <c r="K286">
        <v>6.8916666666667004</v>
      </c>
      <c r="L286">
        <v>5</v>
      </c>
      <c r="M286">
        <v>2</v>
      </c>
      <c r="N286">
        <v>2</v>
      </c>
      <c r="O286">
        <v>0</v>
      </c>
      <c r="P286">
        <v>20</v>
      </c>
      <c r="Q286">
        <v>15</v>
      </c>
      <c r="R286">
        <f>Estadisticas_jugador[[#This Row],[tackles]]+Estadisticas_jugador[[#This Row],[interceptions]]</f>
        <v>35</v>
      </c>
      <c r="S286">
        <v>0</v>
      </c>
    </row>
    <row r="287" spans="1:19" x14ac:dyDescent="0.3">
      <c r="A287" t="s">
        <v>835</v>
      </c>
      <c r="B287" t="s">
        <v>7</v>
      </c>
      <c r="C287">
        <v>15</v>
      </c>
      <c r="D287">
        <v>12</v>
      </c>
      <c r="E287">
        <v>1157</v>
      </c>
      <c r="F287" t="str">
        <f>IF(Estadisticas_jugador[[#This Row],[minutes_played]]&gt;900, "Si", "No")</f>
        <v>Si</v>
      </c>
      <c r="G287">
        <v>0</v>
      </c>
      <c r="H287">
        <v>0</v>
      </c>
      <c r="I287">
        <v>0.57150000000000001</v>
      </c>
      <c r="J287">
        <v>0.27053973999999997</v>
      </c>
      <c r="K287">
        <v>6.38</v>
      </c>
      <c r="L287">
        <v>6</v>
      </c>
      <c r="M287">
        <v>1</v>
      </c>
      <c r="N287">
        <v>1</v>
      </c>
      <c r="O287">
        <v>0</v>
      </c>
      <c r="P287">
        <v>15</v>
      </c>
      <c r="Q287">
        <v>8</v>
      </c>
      <c r="R287">
        <f>Estadisticas_jugador[[#This Row],[tackles]]+Estadisticas_jugador[[#This Row],[interceptions]]</f>
        <v>23</v>
      </c>
      <c r="S287">
        <v>0</v>
      </c>
    </row>
    <row r="288" spans="1:19" x14ac:dyDescent="0.3">
      <c r="A288" t="s">
        <v>836</v>
      </c>
      <c r="B288" t="s">
        <v>7</v>
      </c>
      <c r="C288">
        <v>17</v>
      </c>
      <c r="D288">
        <v>5</v>
      </c>
      <c r="E288">
        <v>739</v>
      </c>
      <c r="F288" t="str">
        <f>IF(Estadisticas_jugador[[#This Row],[minutes_played]]&gt;900, "Si", "No")</f>
        <v>No</v>
      </c>
      <c r="G288">
        <v>0</v>
      </c>
      <c r="H288">
        <v>0</v>
      </c>
      <c r="I288">
        <v>0.28699999999999998</v>
      </c>
      <c r="J288">
        <v>0.31658072999999998</v>
      </c>
      <c r="K288">
        <v>6.6352941176471001</v>
      </c>
      <c r="L288">
        <v>7</v>
      </c>
      <c r="M288">
        <v>2</v>
      </c>
      <c r="N288">
        <v>2</v>
      </c>
      <c r="O288">
        <v>0</v>
      </c>
      <c r="P288">
        <v>19</v>
      </c>
      <c r="Q288">
        <v>2</v>
      </c>
      <c r="R288">
        <f>Estadisticas_jugador[[#This Row],[tackles]]+Estadisticas_jugador[[#This Row],[interceptions]]</f>
        <v>21</v>
      </c>
      <c r="S288">
        <v>0</v>
      </c>
    </row>
    <row r="289" spans="1:19" x14ac:dyDescent="0.3">
      <c r="A289" t="s">
        <v>837</v>
      </c>
      <c r="B289" t="s">
        <v>7</v>
      </c>
      <c r="C289">
        <v>21</v>
      </c>
      <c r="D289">
        <v>19</v>
      </c>
      <c r="E289">
        <v>1768</v>
      </c>
      <c r="F289" t="str">
        <f>IF(Estadisticas_jugador[[#This Row],[minutes_played]]&gt;900, "Si", "No")</f>
        <v>Si</v>
      </c>
      <c r="G289">
        <v>0</v>
      </c>
      <c r="H289">
        <v>0</v>
      </c>
      <c r="I289">
        <v>1.5385</v>
      </c>
      <c r="J289">
        <v>0.61313057999999998</v>
      </c>
      <c r="K289">
        <v>6.6238095238095003</v>
      </c>
      <c r="L289">
        <v>13</v>
      </c>
      <c r="M289">
        <v>0</v>
      </c>
      <c r="N289">
        <v>5</v>
      </c>
      <c r="O289">
        <v>0</v>
      </c>
      <c r="P289">
        <v>26</v>
      </c>
      <c r="Q289">
        <v>22</v>
      </c>
      <c r="R289">
        <f>Estadisticas_jugador[[#This Row],[tackles]]+Estadisticas_jugador[[#This Row],[interceptions]]</f>
        <v>48</v>
      </c>
      <c r="S289">
        <v>0</v>
      </c>
    </row>
    <row r="290" spans="1:19" x14ac:dyDescent="0.3">
      <c r="A290" t="s">
        <v>838</v>
      </c>
      <c r="B290" t="s">
        <v>7</v>
      </c>
      <c r="C290">
        <v>18</v>
      </c>
      <c r="D290">
        <v>18</v>
      </c>
      <c r="E290">
        <v>1620</v>
      </c>
      <c r="F290" t="str">
        <f>IF(Estadisticas_jugador[[#This Row],[minutes_played]]&gt;900, "Si", "No")</f>
        <v>Si</v>
      </c>
      <c r="G290">
        <v>0</v>
      </c>
      <c r="H290">
        <v>0</v>
      </c>
      <c r="J290">
        <v>1.880043E-2</v>
      </c>
      <c r="K290">
        <v>6.9111111111110999</v>
      </c>
      <c r="L290">
        <v>0</v>
      </c>
      <c r="M290">
        <v>0</v>
      </c>
      <c r="N290">
        <v>1</v>
      </c>
      <c r="O290">
        <v>0</v>
      </c>
      <c r="P290">
        <v>2</v>
      </c>
      <c r="Q290">
        <v>0</v>
      </c>
      <c r="R290">
        <f>Estadisticas_jugador[[#This Row],[tackles]]+Estadisticas_jugador[[#This Row],[interceptions]]</f>
        <v>2</v>
      </c>
      <c r="S290">
        <v>54</v>
      </c>
    </row>
    <row r="291" spans="1:19" x14ac:dyDescent="0.3">
      <c r="A291" t="s">
        <v>839</v>
      </c>
      <c r="B291" t="s">
        <v>7</v>
      </c>
      <c r="C291">
        <v>11</v>
      </c>
      <c r="D291">
        <v>11</v>
      </c>
      <c r="E291">
        <v>990</v>
      </c>
      <c r="F291" t="str">
        <f>IF(Estadisticas_jugador[[#This Row],[minutes_played]]&gt;900, "Si", "No")</f>
        <v>Si</v>
      </c>
      <c r="G291">
        <v>0</v>
      </c>
      <c r="H291">
        <v>0</v>
      </c>
      <c r="J291">
        <v>1.8043920000000001E-2</v>
      </c>
      <c r="K291">
        <v>7.0454545454544997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f>Estadisticas_jugador[[#This Row],[tackles]]+Estadisticas_jugador[[#This Row],[interceptions]]</f>
        <v>0</v>
      </c>
      <c r="S291">
        <v>26</v>
      </c>
    </row>
    <row r="292" spans="1:19" x14ac:dyDescent="0.3">
      <c r="A292" t="s">
        <v>840</v>
      </c>
      <c r="B292" t="s">
        <v>7</v>
      </c>
      <c r="C292">
        <v>26</v>
      </c>
      <c r="D292">
        <v>26</v>
      </c>
      <c r="E292">
        <v>1948</v>
      </c>
      <c r="F292" t="str">
        <f>IF(Estadisticas_jugador[[#This Row],[minutes_played]]&gt;900, "Si", "No")</f>
        <v>Si</v>
      </c>
      <c r="G292">
        <v>9</v>
      </c>
      <c r="H292">
        <v>1</v>
      </c>
      <c r="I292">
        <v>8.5153999999999996</v>
      </c>
      <c r="J292">
        <v>1.2943026</v>
      </c>
      <c r="K292">
        <v>6.6576923076923</v>
      </c>
      <c r="L292">
        <v>27</v>
      </c>
      <c r="M292">
        <v>18</v>
      </c>
      <c r="N292">
        <v>4</v>
      </c>
      <c r="O292">
        <v>0</v>
      </c>
      <c r="P292">
        <v>5</v>
      </c>
      <c r="Q292">
        <v>3</v>
      </c>
      <c r="R292">
        <f>Estadisticas_jugador[[#This Row],[tackles]]+Estadisticas_jugador[[#This Row],[interceptions]]</f>
        <v>8</v>
      </c>
      <c r="S292">
        <v>0</v>
      </c>
    </row>
    <row r="293" spans="1:19" x14ac:dyDescent="0.3">
      <c r="A293" t="s">
        <v>841</v>
      </c>
      <c r="B293" t="s">
        <v>7</v>
      </c>
      <c r="C293">
        <v>13</v>
      </c>
      <c r="D293">
        <v>1</v>
      </c>
      <c r="E293">
        <v>238</v>
      </c>
      <c r="F293" t="str">
        <f>IF(Estadisticas_jugador[[#This Row],[minutes_played]]&gt;900, "Si", "No")</f>
        <v>No</v>
      </c>
      <c r="G293">
        <v>3</v>
      </c>
      <c r="H293">
        <v>0</v>
      </c>
      <c r="I293">
        <v>3.7092000000000001</v>
      </c>
      <c r="J293">
        <v>1.281562E-2</v>
      </c>
      <c r="K293">
        <v>6.65</v>
      </c>
      <c r="L293">
        <v>8</v>
      </c>
      <c r="M293">
        <v>6</v>
      </c>
      <c r="N293">
        <v>2</v>
      </c>
      <c r="O293">
        <v>0</v>
      </c>
      <c r="P293">
        <v>4</v>
      </c>
      <c r="Q293">
        <v>1</v>
      </c>
      <c r="R293">
        <f>Estadisticas_jugador[[#This Row],[tackles]]+Estadisticas_jugador[[#This Row],[interceptions]]</f>
        <v>5</v>
      </c>
      <c r="S293">
        <v>0</v>
      </c>
    </row>
    <row r="294" spans="1:19" x14ac:dyDescent="0.3">
      <c r="A294" t="s">
        <v>842</v>
      </c>
      <c r="B294" t="s">
        <v>7</v>
      </c>
      <c r="C294">
        <v>7</v>
      </c>
      <c r="D294">
        <v>0</v>
      </c>
      <c r="E294">
        <v>96</v>
      </c>
      <c r="F294" t="str">
        <f>IF(Estadisticas_jugador[[#This Row],[minutes_played]]&gt;900, "Si", "No")</f>
        <v>No</v>
      </c>
      <c r="G294">
        <v>0</v>
      </c>
      <c r="H294">
        <v>0</v>
      </c>
      <c r="I294">
        <v>0.19220000000000001</v>
      </c>
      <c r="J294">
        <v>0.20759206999999999</v>
      </c>
      <c r="K294">
        <v>6.4142857142857004</v>
      </c>
      <c r="L294">
        <v>3</v>
      </c>
      <c r="M294">
        <v>0</v>
      </c>
      <c r="N294">
        <v>0</v>
      </c>
      <c r="O294">
        <v>0</v>
      </c>
      <c r="P294">
        <v>1</v>
      </c>
      <c r="Q294">
        <v>1</v>
      </c>
      <c r="R294">
        <f>Estadisticas_jugador[[#This Row],[tackles]]+Estadisticas_jugador[[#This Row],[interceptions]]</f>
        <v>2</v>
      </c>
      <c r="S294">
        <v>0</v>
      </c>
    </row>
    <row r="295" spans="1:19" x14ac:dyDescent="0.3">
      <c r="A295" t="s">
        <v>843</v>
      </c>
      <c r="B295" t="s">
        <v>7</v>
      </c>
      <c r="C295">
        <v>10</v>
      </c>
      <c r="D295">
        <v>4</v>
      </c>
      <c r="E295">
        <v>473</v>
      </c>
      <c r="F295" t="str">
        <f>IF(Estadisticas_jugador[[#This Row],[minutes_played]]&gt;900, "Si", "No")</f>
        <v>No</v>
      </c>
      <c r="G295">
        <v>0</v>
      </c>
      <c r="H295">
        <v>0</v>
      </c>
      <c r="I295">
        <v>1.3565</v>
      </c>
      <c r="J295">
        <v>0.56702944</v>
      </c>
      <c r="K295">
        <v>6.5</v>
      </c>
      <c r="L295">
        <v>9</v>
      </c>
      <c r="M295">
        <v>5</v>
      </c>
      <c r="N295">
        <v>1</v>
      </c>
      <c r="O295">
        <v>0</v>
      </c>
      <c r="P295">
        <v>4</v>
      </c>
      <c r="Q295">
        <v>2</v>
      </c>
      <c r="R295">
        <f>Estadisticas_jugador[[#This Row],[tackles]]+Estadisticas_jugador[[#This Row],[interceptions]]</f>
        <v>6</v>
      </c>
      <c r="S295">
        <v>0</v>
      </c>
    </row>
    <row r="296" spans="1:19" x14ac:dyDescent="0.3">
      <c r="A296" t="s">
        <v>844</v>
      </c>
      <c r="B296" t="s">
        <v>7</v>
      </c>
      <c r="C296">
        <v>9</v>
      </c>
      <c r="D296">
        <v>1</v>
      </c>
      <c r="E296">
        <v>260</v>
      </c>
      <c r="F296" t="str">
        <f>IF(Estadisticas_jugador[[#This Row],[minutes_played]]&gt;900, "Si", "No")</f>
        <v>No</v>
      </c>
      <c r="G296">
        <v>1</v>
      </c>
      <c r="H296">
        <v>1</v>
      </c>
      <c r="I296">
        <v>0.89490000000000003</v>
      </c>
      <c r="J296">
        <v>0.41397393999999998</v>
      </c>
      <c r="K296">
        <v>6.8444444444443997</v>
      </c>
      <c r="L296">
        <v>8</v>
      </c>
      <c r="M296">
        <v>3</v>
      </c>
      <c r="N296">
        <v>3</v>
      </c>
      <c r="O296">
        <v>0</v>
      </c>
      <c r="P296">
        <v>5</v>
      </c>
      <c r="Q296">
        <v>0</v>
      </c>
      <c r="R296">
        <f>Estadisticas_jugador[[#This Row],[tackles]]+Estadisticas_jugador[[#This Row],[interceptions]]</f>
        <v>5</v>
      </c>
      <c r="S296">
        <v>0</v>
      </c>
    </row>
    <row r="297" spans="1:19" x14ac:dyDescent="0.3">
      <c r="A297" t="s">
        <v>845</v>
      </c>
      <c r="B297" t="s">
        <v>7</v>
      </c>
      <c r="C297">
        <v>15</v>
      </c>
      <c r="D297">
        <v>11</v>
      </c>
      <c r="E297">
        <v>1032</v>
      </c>
      <c r="F297" t="str">
        <f>IF(Estadisticas_jugador[[#This Row],[minutes_played]]&gt;900, "Si", "No")</f>
        <v>Si</v>
      </c>
      <c r="G297">
        <v>4</v>
      </c>
      <c r="H297">
        <v>2</v>
      </c>
      <c r="I297">
        <v>1.8213999999999999</v>
      </c>
      <c r="J297">
        <v>2.6086296</v>
      </c>
      <c r="K297">
        <v>7.2666666666667004</v>
      </c>
      <c r="L297">
        <v>33</v>
      </c>
      <c r="M297">
        <v>12</v>
      </c>
      <c r="N297">
        <v>6</v>
      </c>
      <c r="O297">
        <v>0</v>
      </c>
      <c r="P297">
        <v>15</v>
      </c>
      <c r="Q297">
        <v>13</v>
      </c>
      <c r="R297">
        <f>Estadisticas_jugador[[#This Row],[tackles]]+Estadisticas_jugador[[#This Row],[interceptions]]</f>
        <v>28</v>
      </c>
      <c r="S297">
        <v>0</v>
      </c>
    </row>
    <row r="298" spans="1:19" x14ac:dyDescent="0.3">
      <c r="A298" t="s">
        <v>846</v>
      </c>
      <c r="B298" t="s">
        <v>7</v>
      </c>
      <c r="C298">
        <v>23</v>
      </c>
      <c r="D298">
        <v>21</v>
      </c>
      <c r="E298">
        <v>1822</v>
      </c>
      <c r="F298" t="str">
        <f>IF(Estadisticas_jugador[[#This Row],[minutes_played]]&gt;900, "Si", "No")</f>
        <v>Si</v>
      </c>
      <c r="G298">
        <v>1</v>
      </c>
      <c r="H298">
        <v>2</v>
      </c>
      <c r="I298">
        <v>2.1934</v>
      </c>
      <c r="J298">
        <v>0.69768874000000003</v>
      </c>
      <c r="K298">
        <v>6.8</v>
      </c>
      <c r="L298">
        <v>18</v>
      </c>
      <c r="M298">
        <v>4</v>
      </c>
      <c r="N298">
        <v>1</v>
      </c>
      <c r="O298">
        <v>1</v>
      </c>
      <c r="P298">
        <v>27</v>
      </c>
      <c r="Q298">
        <v>22</v>
      </c>
      <c r="R298">
        <f>Estadisticas_jugador[[#This Row],[tackles]]+Estadisticas_jugador[[#This Row],[interceptions]]</f>
        <v>49</v>
      </c>
      <c r="S298">
        <v>0</v>
      </c>
    </row>
    <row r="299" spans="1:19" x14ac:dyDescent="0.3">
      <c r="A299" t="s">
        <v>847</v>
      </c>
      <c r="B299" t="s">
        <v>7</v>
      </c>
      <c r="C299">
        <v>2</v>
      </c>
      <c r="D299">
        <v>1</v>
      </c>
      <c r="E299">
        <v>41</v>
      </c>
      <c r="F299" t="str">
        <f>IF(Estadisticas_jugador[[#This Row],[minutes_played]]&gt;900, "Si", "No")</f>
        <v>No</v>
      </c>
      <c r="G299">
        <v>0</v>
      </c>
      <c r="H299">
        <v>0</v>
      </c>
      <c r="I299">
        <v>8.8400000000000006E-2</v>
      </c>
      <c r="J299">
        <v>7.686925E-2</v>
      </c>
      <c r="K299">
        <v>6.6</v>
      </c>
      <c r="L299">
        <v>2</v>
      </c>
      <c r="M299">
        <v>1</v>
      </c>
      <c r="N299">
        <v>0</v>
      </c>
      <c r="O299">
        <v>0</v>
      </c>
      <c r="P299">
        <v>0</v>
      </c>
      <c r="Q299">
        <v>0</v>
      </c>
      <c r="R299">
        <f>Estadisticas_jugador[[#This Row],[tackles]]+Estadisticas_jugador[[#This Row],[interceptions]]</f>
        <v>0</v>
      </c>
      <c r="S299">
        <v>0</v>
      </c>
    </row>
    <row r="300" spans="1:19" x14ac:dyDescent="0.3">
      <c r="A300" t="s">
        <v>848</v>
      </c>
      <c r="B300" t="s">
        <v>7</v>
      </c>
      <c r="C300">
        <v>19</v>
      </c>
      <c r="D300">
        <v>11</v>
      </c>
      <c r="E300">
        <v>990</v>
      </c>
      <c r="F300" t="str">
        <f>IF(Estadisticas_jugador[[#This Row],[minutes_played]]&gt;900, "Si", "No")</f>
        <v>Si</v>
      </c>
      <c r="G300">
        <v>2</v>
      </c>
      <c r="H300">
        <v>1</v>
      </c>
      <c r="I300">
        <v>1.8431</v>
      </c>
      <c r="J300">
        <v>1.26043332</v>
      </c>
      <c r="K300">
        <v>6.6789473684210998</v>
      </c>
      <c r="L300">
        <v>15</v>
      </c>
      <c r="M300">
        <v>7</v>
      </c>
      <c r="N300">
        <v>2</v>
      </c>
      <c r="O300">
        <v>0</v>
      </c>
      <c r="P300">
        <v>16</v>
      </c>
      <c r="Q300">
        <v>3</v>
      </c>
      <c r="R300">
        <f>Estadisticas_jugador[[#This Row],[tackles]]+Estadisticas_jugador[[#This Row],[interceptions]]</f>
        <v>19</v>
      </c>
      <c r="S300">
        <v>0</v>
      </c>
    </row>
    <row r="301" spans="1:19" x14ac:dyDescent="0.3">
      <c r="A301" t="s">
        <v>849</v>
      </c>
      <c r="B301" t="s">
        <v>7</v>
      </c>
      <c r="C301">
        <v>23</v>
      </c>
      <c r="D301">
        <v>22</v>
      </c>
      <c r="E301">
        <v>1841</v>
      </c>
      <c r="F301" t="str">
        <f>IF(Estadisticas_jugador[[#This Row],[minutes_played]]&gt;900, "Si", "No")</f>
        <v>Si</v>
      </c>
      <c r="G301">
        <v>5</v>
      </c>
      <c r="H301">
        <v>4</v>
      </c>
      <c r="I301">
        <v>4.9532999999999996</v>
      </c>
      <c r="J301">
        <v>2.7204701999999998</v>
      </c>
      <c r="K301">
        <v>6.9478260869564998</v>
      </c>
      <c r="L301">
        <v>33</v>
      </c>
      <c r="M301">
        <v>15</v>
      </c>
      <c r="N301">
        <v>2</v>
      </c>
      <c r="O301">
        <v>0</v>
      </c>
      <c r="P301">
        <v>26</v>
      </c>
      <c r="Q301">
        <v>14</v>
      </c>
      <c r="R301">
        <f>Estadisticas_jugador[[#This Row],[tackles]]+Estadisticas_jugador[[#This Row],[interceptions]]</f>
        <v>40</v>
      </c>
      <c r="S301">
        <v>0</v>
      </c>
    </row>
    <row r="302" spans="1:19" x14ac:dyDescent="0.3">
      <c r="A302" t="s">
        <v>850</v>
      </c>
      <c r="B302" t="s">
        <v>7</v>
      </c>
      <c r="C302">
        <v>23</v>
      </c>
      <c r="D302">
        <v>17</v>
      </c>
      <c r="E302">
        <v>1369</v>
      </c>
      <c r="F302" t="str">
        <f>IF(Estadisticas_jugador[[#This Row],[minutes_played]]&gt;900, "Si", "No")</f>
        <v>Si</v>
      </c>
      <c r="G302">
        <v>0</v>
      </c>
      <c r="H302">
        <v>3</v>
      </c>
      <c r="I302">
        <v>1.7586999999999999</v>
      </c>
      <c r="J302">
        <v>2.4915755399999999</v>
      </c>
      <c r="K302">
        <v>6.5434782608696</v>
      </c>
      <c r="L302">
        <v>20</v>
      </c>
      <c r="M302">
        <v>5</v>
      </c>
      <c r="N302">
        <v>4</v>
      </c>
      <c r="O302">
        <v>0</v>
      </c>
      <c r="P302">
        <v>27</v>
      </c>
      <c r="Q302">
        <v>9</v>
      </c>
      <c r="R302">
        <f>Estadisticas_jugador[[#This Row],[tackles]]+Estadisticas_jugador[[#This Row],[interceptions]]</f>
        <v>36</v>
      </c>
      <c r="S302">
        <v>0</v>
      </c>
    </row>
    <row r="303" spans="1:19" x14ac:dyDescent="0.3">
      <c r="A303" t="s">
        <v>851</v>
      </c>
      <c r="B303" t="s">
        <v>7</v>
      </c>
      <c r="C303">
        <v>27</v>
      </c>
      <c r="D303">
        <v>22</v>
      </c>
      <c r="E303">
        <v>1940</v>
      </c>
      <c r="F303" t="str">
        <f>IF(Estadisticas_jugador[[#This Row],[minutes_played]]&gt;900, "Si", "No")</f>
        <v>Si</v>
      </c>
      <c r="G303">
        <v>0</v>
      </c>
      <c r="H303">
        <v>1</v>
      </c>
      <c r="I303">
        <v>0.75949999999999995</v>
      </c>
      <c r="J303">
        <v>1.11450798</v>
      </c>
      <c r="K303">
        <v>6.8481481481481001</v>
      </c>
      <c r="L303">
        <v>9</v>
      </c>
      <c r="M303">
        <v>4</v>
      </c>
      <c r="N303">
        <v>3</v>
      </c>
      <c r="O303">
        <v>1</v>
      </c>
      <c r="P303">
        <v>52</v>
      </c>
      <c r="Q303">
        <v>12</v>
      </c>
      <c r="R303">
        <f>Estadisticas_jugador[[#This Row],[tackles]]+Estadisticas_jugador[[#This Row],[interceptions]]</f>
        <v>64</v>
      </c>
      <c r="S303">
        <v>0</v>
      </c>
    </row>
    <row r="304" spans="1:19" x14ac:dyDescent="0.3">
      <c r="A304" t="s">
        <v>852</v>
      </c>
      <c r="B304" t="s">
        <v>7</v>
      </c>
      <c r="C304">
        <v>19</v>
      </c>
      <c r="D304">
        <v>14</v>
      </c>
      <c r="E304">
        <v>1135</v>
      </c>
      <c r="F304" t="str">
        <f>IF(Estadisticas_jugador[[#This Row],[minutes_played]]&gt;900, "Si", "No")</f>
        <v>Si</v>
      </c>
      <c r="G304">
        <v>1</v>
      </c>
      <c r="H304">
        <v>0</v>
      </c>
      <c r="I304">
        <v>0.52790000000000004</v>
      </c>
      <c r="J304">
        <v>0.70314575999999995</v>
      </c>
      <c r="K304">
        <v>6.8263157894736999</v>
      </c>
      <c r="L304">
        <v>12</v>
      </c>
      <c r="M304">
        <v>3</v>
      </c>
      <c r="N304">
        <v>2</v>
      </c>
      <c r="O304">
        <v>0</v>
      </c>
      <c r="P304">
        <v>26</v>
      </c>
      <c r="Q304">
        <v>11</v>
      </c>
      <c r="R304">
        <f>Estadisticas_jugador[[#This Row],[tackles]]+Estadisticas_jugador[[#This Row],[interceptions]]</f>
        <v>37</v>
      </c>
      <c r="S304">
        <v>0</v>
      </c>
    </row>
    <row r="305" spans="1:19" x14ac:dyDescent="0.3">
      <c r="A305" t="s">
        <v>853</v>
      </c>
      <c r="B305" t="s">
        <v>7</v>
      </c>
      <c r="C305">
        <v>5</v>
      </c>
      <c r="D305">
        <v>0</v>
      </c>
      <c r="E305">
        <v>64</v>
      </c>
      <c r="F305" t="str">
        <f>IF(Estadisticas_jugador[[#This Row],[minutes_played]]&gt;900, "Si", "No")</f>
        <v>No</v>
      </c>
      <c r="G305">
        <v>0</v>
      </c>
      <c r="H305">
        <v>0</v>
      </c>
      <c r="J305">
        <v>4.8492099999999996E-3</v>
      </c>
      <c r="K305">
        <v>6.36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1</v>
      </c>
      <c r="R305">
        <f>Estadisticas_jugador[[#This Row],[tackles]]+Estadisticas_jugador[[#This Row],[interceptions]]</f>
        <v>1</v>
      </c>
      <c r="S305">
        <v>0</v>
      </c>
    </row>
    <row r="306" spans="1:19" x14ac:dyDescent="0.3">
      <c r="A306" t="s">
        <v>854</v>
      </c>
      <c r="B306" t="s">
        <v>7</v>
      </c>
      <c r="C306">
        <v>24</v>
      </c>
      <c r="D306">
        <v>11</v>
      </c>
      <c r="E306">
        <v>1040</v>
      </c>
      <c r="F306" t="str">
        <f>IF(Estadisticas_jugador[[#This Row],[minutes_played]]&gt;900, "Si", "No")</f>
        <v>Si</v>
      </c>
      <c r="G306">
        <v>2</v>
      </c>
      <c r="H306">
        <v>1</v>
      </c>
      <c r="I306">
        <v>2.3927999999999998</v>
      </c>
      <c r="J306">
        <v>1.0020596900000001</v>
      </c>
      <c r="K306">
        <v>6.7166666666666996</v>
      </c>
      <c r="L306">
        <v>34</v>
      </c>
      <c r="M306">
        <v>11</v>
      </c>
      <c r="N306">
        <v>3</v>
      </c>
      <c r="O306">
        <v>1</v>
      </c>
      <c r="P306">
        <v>19</v>
      </c>
      <c r="Q306">
        <v>2</v>
      </c>
      <c r="R306">
        <f>Estadisticas_jugador[[#This Row],[tackles]]+Estadisticas_jugador[[#This Row],[interceptions]]</f>
        <v>21</v>
      </c>
      <c r="S306">
        <v>0</v>
      </c>
    </row>
    <row r="307" spans="1:19" x14ac:dyDescent="0.3">
      <c r="A307" t="s">
        <v>855</v>
      </c>
      <c r="B307" t="s">
        <v>7</v>
      </c>
      <c r="C307">
        <v>27</v>
      </c>
      <c r="D307">
        <v>26</v>
      </c>
      <c r="E307">
        <v>2328</v>
      </c>
      <c r="F307" t="str">
        <f>IF(Estadisticas_jugador[[#This Row],[minutes_played]]&gt;900, "Si", "No")</f>
        <v>Si</v>
      </c>
      <c r="G307">
        <v>1</v>
      </c>
      <c r="H307">
        <v>1</v>
      </c>
      <c r="I307">
        <v>0.9123</v>
      </c>
      <c r="J307">
        <v>0.34332117000000001</v>
      </c>
      <c r="K307">
        <v>6.8481481481481001</v>
      </c>
      <c r="L307">
        <v>12</v>
      </c>
      <c r="M307">
        <v>2</v>
      </c>
      <c r="N307">
        <v>5</v>
      </c>
      <c r="O307">
        <v>1</v>
      </c>
      <c r="P307">
        <v>32</v>
      </c>
      <c r="Q307">
        <v>20</v>
      </c>
      <c r="R307">
        <f>Estadisticas_jugador[[#This Row],[tackles]]+Estadisticas_jugador[[#This Row],[interceptions]]</f>
        <v>52</v>
      </c>
      <c r="S307">
        <v>0</v>
      </c>
    </row>
    <row r="308" spans="1:19" x14ac:dyDescent="0.3">
      <c r="A308" t="s">
        <v>856</v>
      </c>
      <c r="B308" t="s">
        <v>7</v>
      </c>
      <c r="C308">
        <v>27</v>
      </c>
      <c r="D308">
        <v>26</v>
      </c>
      <c r="E308">
        <v>2303</v>
      </c>
      <c r="F308" t="str">
        <f>IF(Estadisticas_jugador[[#This Row],[minutes_played]]&gt;900, "Si", "No")</f>
        <v>Si</v>
      </c>
      <c r="G308">
        <v>0</v>
      </c>
      <c r="H308">
        <v>0</v>
      </c>
      <c r="I308">
        <v>9.3700000000000006E-2</v>
      </c>
      <c r="J308">
        <v>1.059539</v>
      </c>
      <c r="K308">
        <v>6.9740740740740996</v>
      </c>
      <c r="L308">
        <v>3</v>
      </c>
      <c r="M308">
        <v>1</v>
      </c>
      <c r="N308">
        <v>1</v>
      </c>
      <c r="O308">
        <v>0</v>
      </c>
      <c r="P308">
        <v>48</v>
      </c>
      <c r="Q308">
        <v>36</v>
      </c>
      <c r="R308">
        <f>Estadisticas_jugador[[#This Row],[tackles]]+Estadisticas_jugador[[#This Row],[interceptions]]</f>
        <v>84</v>
      </c>
      <c r="S308">
        <v>0</v>
      </c>
    </row>
    <row r="309" spans="1:19" x14ac:dyDescent="0.3">
      <c r="A309" t="s">
        <v>857</v>
      </c>
      <c r="B309" t="s">
        <v>7</v>
      </c>
      <c r="C309">
        <v>26</v>
      </c>
      <c r="D309">
        <v>24</v>
      </c>
      <c r="E309">
        <v>1943</v>
      </c>
      <c r="F309" t="str">
        <f>IF(Estadisticas_jugador[[#This Row],[minutes_played]]&gt;900, "Si", "No")</f>
        <v>Si</v>
      </c>
      <c r="G309">
        <v>1</v>
      </c>
      <c r="H309">
        <v>1</v>
      </c>
      <c r="I309">
        <v>0.78749999999999998</v>
      </c>
      <c r="J309">
        <v>1.2678792699999999</v>
      </c>
      <c r="K309">
        <v>6.8346153846154003</v>
      </c>
      <c r="L309">
        <v>11</v>
      </c>
      <c r="M309">
        <v>1</v>
      </c>
      <c r="N309">
        <v>6</v>
      </c>
      <c r="O309">
        <v>0</v>
      </c>
      <c r="P309">
        <v>52</v>
      </c>
      <c r="Q309">
        <v>31</v>
      </c>
      <c r="R309">
        <f>Estadisticas_jugador[[#This Row],[tackles]]+Estadisticas_jugador[[#This Row],[interceptions]]</f>
        <v>83</v>
      </c>
      <c r="S309">
        <v>0</v>
      </c>
    </row>
    <row r="310" spans="1:19" x14ac:dyDescent="0.3">
      <c r="A310" t="s">
        <v>858</v>
      </c>
      <c r="B310" t="s">
        <v>7</v>
      </c>
      <c r="C310">
        <v>23</v>
      </c>
      <c r="D310">
        <v>20</v>
      </c>
      <c r="E310">
        <v>1871</v>
      </c>
      <c r="F310" t="str">
        <f>IF(Estadisticas_jugador[[#This Row],[minutes_played]]&gt;900, "Si", "No")</f>
        <v>Si</v>
      </c>
      <c r="G310">
        <v>0</v>
      </c>
      <c r="H310">
        <v>3</v>
      </c>
      <c r="I310">
        <v>1.4368000000000001</v>
      </c>
      <c r="J310">
        <v>1.6150874900000001</v>
      </c>
      <c r="K310">
        <v>6.6478260869565</v>
      </c>
      <c r="L310">
        <v>14</v>
      </c>
      <c r="M310">
        <v>4</v>
      </c>
      <c r="N310">
        <v>4</v>
      </c>
      <c r="O310">
        <v>0</v>
      </c>
      <c r="P310">
        <v>24</v>
      </c>
      <c r="Q310">
        <v>20</v>
      </c>
      <c r="R310">
        <f>Estadisticas_jugador[[#This Row],[tackles]]+Estadisticas_jugador[[#This Row],[interceptions]]</f>
        <v>44</v>
      </c>
      <c r="S310">
        <v>0</v>
      </c>
    </row>
    <row r="311" spans="1:19" x14ac:dyDescent="0.3">
      <c r="A311" t="s">
        <v>859</v>
      </c>
      <c r="B311" t="s">
        <v>7</v>
      </c>
      <c r="C311">
        <v>17</v>
      </c>
      <c r="D311">
        <v>6</v>
      </c>
      <c r="E311">
        <v>632</v>
      </c>
      <c r="F311" t="str">
        <f>IF(Estadisticas_jugador[[#This Row],[minutes_played]]&gt;900, "Si", "No")</f>
        <v>No</v>
      </c>
      <c r="G311">
        <v>0</v>
      </c>
      <c r="H311">
        <v>1</v>
      </c>
      <c r="I311">
        <v>0.49919999999999998</v>
      </c>
      <c r="J311">
        <v>0.88401852000000003</v>
      </c>
      <c r="K311">
        <v>6.7529411764705998</v>
      </c>
      <c r="L311">
        <v>7</v>
      </c>
      <c r="M311">
        <v>4</v>
      </c>
      <c r="N311">
        <v>1</v>
      </c>
      <c r="O311">
        <v>1</v>
      </c>
      <c r="P311">
        <v>13</v>
      </c>
      <c r="Q311">
        <v>8</v>
      </c>
      <c r="R311">
        <f>Estadisticas_jugador[[#This Row],[tackles]]+Estadisticas_jugador[[#This Row],[interceptions]]</f>
        <v>21</v>
      </c>
      <c r="S311">
        <v>0</v>
      </c>
    </row>
    <row r="312" spans="1:19" x14ac:dyDescent="0.3">
      <c r="A312" t="s">
        <v>860</v>
      </c>
      <c r="B312" t="s">
        <v>7</v>
      </c>
      <c r="C312">
        <v>4</v>
      </c>
      <c r="D312">
        <v>2</v>
      </c>
      <c r="E312">
        <v>203</v>
      </c>
      <c r="F312" t="str">
        <f>IF(Estadisticas_jugador[[#This Row],[minutes_played]]&gt;900, "Si", "No")</f>
        <v>No</v>
      </c>
      <c r="G312">
        <v>0</v>
      </c>
      <c r="H312">
        <v>0</v>
      </c>
      <c r="I312">
        <v>0.57199999999999995</v>
      </c>
      <c r="J312">
        <v>1.7759830000000001E-2</v>
      </c>
      <c r="K312">
        <v>6.4666666666666996</v>
      </c>
      <c r="L312">
        <v>1</v>
      </c>
      <c r="M312">
        <v>1</v>
      </c>
      <c r="N312">
        <v>0</v>
      </c>
      <c r="O312">
        <v>0</v>
      </c>
      <c r="P312">
        <v>2</v>
      </c>
      <c r="Q312">
        <v>0</v>
      </c>
      <c r="R312">
        <f>Estadisticas_jugador[[#This Row],[tackles]]+Estadisticas_jugador[[#This Row],[interceptions]]</f>
        <v>2</v>
      </c>
      <c r="S312">
        <v>0</v>
      </c>
    </row>
    <row r="313" spans="1:19" x14ac:dyDescent="0.3">
      <c r="A313" t="s">
        <v>861</v>
      </c>
      <c r="B313" t="s">
        <v>7</v>
      </c>
      <c r="C313">
        <v>26</v>
      </c>
      <c r="D313">
        <v>16</v>
      </c>
      <c r="E313">
        <v>1628</v>
      </c>
      <c r="F313" t="str">
        <f>IF(Estadisticas_jugador[[#This Row],[minutes_played]]&gt;900, "Si", "No")</f>
        <v>Si</v>
      </c>
      <c r="G313">
        <v>1</v>
      </c>
      <c r="H313">
        <v>1</v>
      </c>
      <c r="I313">
        <v>0.86180000000000001</v>
      </c>
      <c r="J313">
        <v>0.84561699000000001</v>
      </c>
      <c r="K313">
        <v>6.6538461538462004</v>
      </c>
      <c r="L313">
        <v>7</v>
      </c>
      <c r="M313">
        <v>2</v>
      </c>
      <c r="N313">
        <v>3</v>
      </c>
      <c r="O313">
        <v>0</v>
      </c>
      <c r="P313">
        <v>38</v>
      </c>
      <c r="Q313">
        <v>5</v>
      </c>
      <c r="R313">
        <f>Estadisticas_jugador[[#This Row],[tackles]]+Estadisticas_jugador[[#This Row],[interceptions]]</f>
        <v>43</v>
      </c>
      <c r="S313">
        <v>0</v>
      </c>
    </row>
    <row r="314" spans="1:19" x14ac:dyDescent="0.3">
      <c r="A314" t="s">
        <v>862</v>
      </c>
      <c r="B314" t="s">
        <v>7</v>
      </c>
      <c r="C314">
        <v>2</v>
      </c>
      <c r="D314">
        <v>2</v>
      </c>
      <c r="E314">
        <v>180</v>
      </c>
      <c r="F314" t="str">
        <f>IF(Estadisticas_jugador[[#This Row],[minutes_played]]&gt;900, "Si", "No")</f>
        <v>No</v>
      </c>
      <c r="G314">
        <v>0</v>
      </c>
      <c r="H314">
        <v>0</v>
      </c>
      <c r="J314">
        <v>3.3356E-4</v>
      </c>
      <c r="K314">
        <v>6.7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f>Estadisticas_jugador[[#This Row],[tackles]]+Estadisticas_jugador[[#This Row],[interceptions]]</f>
        <v>0</v>
      </c>
      <c r="S314">
        <v>4</v>
      </c>
    </row>
    <row r="315" spans="1:19" x14ac:dyDescent="0.3">
      <c r="A315" t="s">
        <v>863</v>
      </c>
      <c r="B315" t="s">
        <v>7</v>
      </c>
      <c r="C315">
        <v>26</v>
      </c>
      <c r="D315">
        <v>26</v>
      </c>
      <c r="E315">
        <v>2293</v>
      </c>
      <c r="F315" t="str">
        <f>IF(Estadisticas_jugador[[#This Row],[minutes_played]]&gt;900, "Si", "No")</f>
        <v>Si</v>
      </c>
      <c r="G315">
        <v>0</v>
      </c>
      <c r="H315">
        <v>0</v>
      </c>
      <c r="J315">
        <v>2.2890379999999998E-2</v>
      </c>
      <c r="K315">
        <v>7.1153846153845999</v>
      </c>
      <c r="L315">
        <v>0</v>
      </c>
      <c r="M315">
        <v>0</v>
      </c>
      <c r="N315">
        <v>4</v>
      </c>
      <c r="O315">
        <v>1</v>
      </c>
      <c r="P315">
        <v>0</v>
      </c>
      <c r="Q315">
        <v>0</v>
      </c>
      <c r="R315">
        <f>Estadisticas_jugador[[#This Row],[tackles]]+Estadisticas_jugador[[#This Row],[interceptions]]</f>
        <v>0</v>
      </c>
      <c r="S315">
        <v>97</v>
      </c>
    </row>
    <row r="316" spans="1:19" x14ac:dyDescent="0.3">
      <c r="A316" t="s">
        <v>864</v>
      </c>
      <c r="B316" t="s">
        <v>7</v>
      </c>
      <c r="C316">
        <v>2</v>
      </c>
      <c r="D316">
        <v>1</v>
      </c>
      <c r="E316">
        <v>136</v>
      </c>
      <c r="F316" t="str">
        <f>IF(Estadisticas_jugador[[#This Row],[minutes_played]]&gt;900, "Si", "No")</f>
        <v>No</v>
      </c>
      <c r="G316">
        <v>0</v>
      </c>
      <c r="H316">
        <v>0</v>
      </c>
      <c r="J316">
        <v>1.1605999999999999E-3</v>
      </c>
      <c r="K316">
        <v>7.1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f>Estadisticas_jugador[[#This Row],[tackles]]+Estadisticas_jugador[[#This Row],[interceptions]]</f>
        <v>0</v>
      </c>
      <c r="S316">
        <v>4</v>
      </c>
    </row>
    <row r="317" spans="1:19" x14ac:dyDescent="0.3">
      <c r="A317" t="s">
        <v>865</v>
      </c>
      <c r="B317" t="s">
        <v>7</v>
      </c>
      <c r="C317">
        <v>27</v>
      </c>
      <c r="D317">
        <v>26</v>
      </c>
      <c r="E317">
        <v>1932</v>
      </c>
      <c r="F317" t="str">
        <f>IF(Estadisticas_jugador[[#This Row],[minutes_played]]&gt;900, "Si", "No")</f>
        <v>Si</v>
      </c>
      <c r="G317">
        <v>10</v>
      </c>
      <c r="H317">
        <v>1</v>
      </c>
      <c r="I317">
        <v>8.4247999999999994</v>
      </c>
      <c r="J317">
        <v>2.2454495699999999</v>
      </c>
      <c r="K317">
        <v>6.9851851851852</v>
      </c>
      <c r="L317">
        <v>44</v>
      </c>
      <c r="M317">
        <v>21</v>
      </c>
      <c r="N317">
        <v>3</v>
      </c>
      <c r="O317">
        <v>0</v>
      </c>
      <c r="P317">
        <v>23</v>
      </c>
      <c r="Q317">
        <v>5</v>
      </c>
      <c r="R317">
        <f>Estadisticas_jugador[[#This Row],[tackles]]+Estadisticas_jugador[[#This Row],[interceptions]]</f>
        <v>28</v>
      </c>
      <c r="S317">
        <v>0</v>
      </c>
    </row>
    <row r="318" spans="1:19" x14ac:dyDescent="0.3">
      <c r="A318" t="s">
        <v>866</v>
      </c>
      <c r="B318" t="s">
        <v>7</v>
      </c>
      <c r="C318">
        <v>17</v>
      </c>
      <c r="D318">
        <v>7</v>
      </c>
      <c r="E318">
        <v>722</v>
      </c>
      <c r="F318" t="str">
        <f>IF(Estadisticas_jugador[[#This Row],[minutes_played]]&gt;900, "Si", "No")</f>
        <v>No</v>
      </c>
      <c r="G318">
        <v>1</v>
      </c>
      <c r="H318">
        <v>0</v>
      </c>
      <c r="I318">
        <v>1.7206999999999999</v>
      </c>
      <c r="J318">
        <v>0.16334538000000001</v>
      </c>
      <c r="K318">
        <v>6.45</v>
      </c>
      <c r="L318">
        <v>14</v>
      </c>
      <c r="M318">
        <v>6</v>
      </c>
      <c r="N318">
        <v>1</v>
      </c>
      <c r="O318">
        <v>0</v>
      </c>
      <c r="P318">
        <v>4</v>
      </c>
      <c r="Q318">
        <v>1</v>
      </c>
      <c r="R318">
        <f>Estadisticas_jugador[[#This Row],[tackles]]+Estadisticas_jugador[[#This Row],[interceptions]]</f>
        <v>5</v>
      </c>
      <c r="S318">
        <v>0</v>
      </c>
    </row>
    <row r="319" spans="1:19" x14ac:dyDescent="0.3">
      <c r="A319" t="s">
        <v>867</v>
      </c>
      <c r="B319" t="s">
        <v>7</v>
      </c>
      <c r="C319">
        <v>6</v>
      </c>
      <c r="D319">
        <v>5</v>
      </c>
      <c r="E319">
        <v>326</v>
      </c>
      <c r="F319" t="str">
        <f>IF(Estadisticas_jugador[[#This Row],[minutes_played]]&gt;900, "Si", "No")</f>
        <v>No</v>
      </c>
      <c r="G319">
        <v>0</v>
      </c>
      <c r="H319">
        <v>0</v>
      </c>
      <c r="I319">
        <v>0.99770000000000003</v>
      </c>
      <c r="J319">
        <v>0.20234488</v>
      </c>
      <c r="K319">
        <v>6.3</v>
      </c>
      <c r="L319">
        <v>4</v>
      </c>
      <c r="M319">
        <v>1</v>
      </c>
      <c r="N319">
        <v>1</v>
      </c>
      <c r="O319">
        <v>0</v>
      </c>
      <c r="P319">
        <v>8</v>
      </c>
      <c r="Q319">
        <v>0</v>
      </c>
      <c r="R319">
        <f>Estadisticas_jugador[[#This Row],[tackles]]+Estadisticas_jugador[[#This Row],[interceptions]]</f>
        <v>8</v>
      </c>
      <c r="S319">
        <v>0</v>
      </c>
    </row>
    <row r="320" spans="1:19" x14ac:dyDescent="0.3">
      <c r="A320" t="s">
        <v>868</v>
      </c>
      <c r="B320" t="s">
        <v>7</v>
      </c>
      <c r="C320">
        <v>14</v>
      </c>
      <c r="D320">
        <v>4</v>
      </c>
      <c r="E320">
        <v>469</v>
      </c>
      <c r="F320" t="str">
        <f>IF(Estadisticas_jugador[[#This Row],[minutes_played]]&gt;900, "Si", "No")</f>
        <v>No</v>
      </c>
      <c r="G320">
        <v>0</v>
      </c>
      <c r="H320">
        <v>0</v>
      </c>
      <c r="I320">
        <v>0.97430000000000005</v>
      </c>
      <c r="J320">
        <v>0.28770380000000001</v>
      </c>
      <c r="K320">
        <v>6.4692307692308004</v>
      </c>
      <c r="L320">
        <v>9</v>
      </c>
      <c r="M320">
        <v>4</v>
      </c>
      <c r="N320">
        <v>2</v>
      </c>
      <c r="O320">
        <v>1</v>
      </c>
      <c r="P320">
        <v>3</v>
      </c>
      <c r="Q320">
        <v>2</v>
      </c>
      <c r="R320">
        <f>Estadisticas_jugador[[#This Row],[tackles]]+Estadisticas_jugador[[#This Row],[interceptions]]</f>
        <v>5</v>
      </c>
      <c r="S320">
        <v>0</v>
      </c>
    </row>
    <row r="321" spans="1:19" x14ac:dyDescent="0.3">
      <c r="A321" t="s">
        <v>869</v>
      </c>
      <c r="B321" t="s">
        <v>7</v>
      </c>
      <c r="C321">
        <v>8</v>
      </c>
      <c r="D321">
        <v>0</v>
      </c>
      <c r="E321">
        <v>106</v>
      </c>
      <c r="F321" t="str">
        <f>IF(Estadisticas_jugador[[#This Row],[minutes_played]]&gt;900, "Si", "No")</f>
        <v>No</v>
      </c>
      <c r="G321">
        <v>0</v>
      </c>
      <c r="H321">
        <v>0</v>
      </c>
      <c r="I321">
        <v>0.21840000000000001</v>
      </c>
      <c r="J321">
        <v>2.3979489999999999E-2</v>
      </c>
      <c r="K321">
        <v>6.5250000000000004</v>
      </c>
      <c r="L321">
        <v>4</v>
      </c>
      <c r="M321">
        <v>0</v>
      </c>
      <c r="N321">
        <v>0</v>
      </c>
      <c r="O321">
        <v>0</v>
      </c>
      <c r="P321">
        <v>2</v>
      </c>
      <c r="Q321">
        <v>0</v>
      </c>
      <c r="R321">
        <f>Estadisticas_jugador[[#This Row],[tackles]]+Estadisticas_jugador[[#This Row],[interceptions]]</f>
        <v>2</v>
      </c>
      <c r="S321">
        <v>0</v>
      </c>
    </row>
    <row r="322" spans="1:19" x14ac:dyDescent="0.3">
      <c r="A322" t="s">
        <v>870</v>
      </c>
      <c r="B322" t="s">
        <v>7</v>
      </c>
      <c r="C322">
        <v>17</v>
      </c>
      <c r="D322">
        <v>7</v>
      </c>
      <c r="E322">
        <v>708</v>
      </c>
      <c r="F322" t="str">
        <f>IF(Estadisticas_jugador[[#This Row],[minutes_played]]&gt;900, "Si", "No")</f>
        <v>No</v>
      </c>
      <c r="G322">
        <v>0</v>
      </c>
      <c r="H322">
        <v>0</v>
      </c>
      <c r="I322">
        <v>1.7688999999999999</v>
      </c>
      <c r="J322">
        <v>0.82409451</v>
      </c>
      <c r="K322">
        <v>6.6235294117647001</v>
      </c>
      <c r="L322">
        <v>20</v>
      </c>
      <c r="M322">
        <v>6</v>
      </c>
      <c r="N322">
        <v>3</v>
      </c>
      <c r="O322">
        <v>0</v>
      </c>
      <c r="P322">
        <v>23</v>
      </c>
      <c r="Q322">
        <v>2</v>
      </c>
      <c r="R322">
        <f>Estadisticas_jugador[[#This Row],[tackles]]+Estadisticas_jugador[[#This Row],[interceptions]]</f>
        <v>25</v>
      </c>
      <c r="S322">
        <v>0</v>
      </c>
    </row>
    <row r="323" spans="1:19" x14ac:dyDescent="0.3">
      <c r="A323" t="s">
        <v>871</v>
      </c>
      <c r="B323" t="s">
        <v>7</v>
      </c>
      <c r="C323">
        <v>21</v>
      </c>
      <c r="D323">
        <v>15</v>
      </c>
      <c r="E323">
        <v>1449</v>
      </c>
      <c r="F323" t="str">
        <f>IF(Estadisticas_jugador[[#This Row],[minutes_played]]&gt;900, "Si", "No")</f>
        <v>Si</v>
      </c>
      <c r="G323">
        <v>2</v>
      </c>
      <c r="H323">
        <v>0</v>
      </c>
      <c r="I323">
        <v>2.8361000000000001</v>
      </c>
      <c r="J323">
        <v>0.28397788000000002</v>
      </c>
      <c r="K323">
        <v>6.9619047619048002</v>
      </c>
      <c r="L323">
        <v>15</v>
      </c>
      <c r="M323">
        <v>7</v>
      </c>
      <c r="N323">
        <v>5</v>
      </c>
      <c r="O323">
        <v>2</v>
      </c>
      <c r="P323">
        <v>41</v>
      </c>
      <c r="Q323">
        <v>22</v>
      </c>
      <c r="R323">
        <f>Estadisticas_jugador[[#This Row],[tackles]]+Estadisticas_jugador[[#This Row],[interceptions]]</f>
        <v>63</v>
      </c>
      <c r="S323">
        <v>0</v>
      </c>
    </row>
    <row r="324" spans="1:19" x14ac:dyDescent="0.3">
      <c r="A324" t="s">
        <v>872</v>
      </c>
      <c r="B324" t="s">
        <v>7</v>
      </c>
      <c r="C324">
        <v>28</v>
      </c>
      <c r="D324">
        <v>24</v>
      </c>
      <c r="E324">
        <v>2038</v>
      </c>
      <c r="F324" t="str">
        <f>IF(Estadisticas_jugador[[#This Row],[minutes_played]]&gt;900, "Si", "No")</f>
        <v>Si</v>
      </c>
      <c r="G324">
        <v>3</v>
      </c>
      <c r="H324">
        <v>3</v>
      </c>
      <c r="I324">
        <v>4.8776999999999999</v>
      </c>
      <c r="J324">
        <v>3.6319898199999998</v>
      </c>
      <c r="K324">
        <v>6.7428571428571002</v>
      </c>
      <c r="L324">
        <v>42</v>
      </c>
      <c r="M324">
        <v>13</v>
      </c>
      <c r="N324">
        <v>9</v>
      </c>
      <c r="O324">
        <v>0</v>
      </c>
      <c r="P324">
        <v>28</v>
      </c>
      <c r="Q324">
        <v>3</v>
      </c>
      <c r="R324">
        <f>Estadisticas_jugador[[#This Row],[tackles]]+Estadisticas_jugador[[#This Row],[interceptions]]</f>
        <v>31</v>
      </c>
      <c r="S324">
        <v>0</v>
      </c>
    </row>
    <row r="325" spans="1:19" x14ac:dyDescent="0.3">
      <c r="A325" t="s">
        <v>873</v>
      </c>
      <c r="B325" t="s">
        <v>7</v>
      </c>
      <c r="C325">
        <v>29</v>
      </c>
      <c r="D325">
        <v>20</v>
      </c>
      <c r="E325">
        <v>1899</v>
      </c>
      <c r="F325" t="str">
        <f>IF(Estadisticas_jugador[[#This Row],[minutes_played]]&gt;900, "Si", "No")</f>
        <v>Si</v>
      </c>
      <c r="G325">
        <v>4</v>
      </c>
      <c r="H325">
        <v>4</v>
      </c>
      <c r="I325">
        <v>6.2192999999999996</v>
      </c>
      <c r="J325">
        <v>4.3739944099999999</v>
      </c>
      <c r="K325">
        <v>6.7448275862068998</v>
      </c>
      <c r="L325">
        <v>44</v>
      </c>
      <c r="M325">
        <v>17</v>
      </c>
      <c r="N325">
        <v>3</v>
      </c>
      <c r="O325">
        <v>0</v>
      </c>
      <c r="P325">
        <v>26</v>
      </c>
      <c r="Q325">
        <v>13</v>
      </c>
      <c r="R325">
        <f>Estadisticas_jugador[[#This Row],[tackles]]+Estadisticas_jugador[[#This Row],[interceptions]]</f>
        <v>39</v>
      </c>
      <c r="S325">
        <v>0</v>
      </c>
    </row>
    <row r="326" spans="1:19" x14ac:dyDescent="0.3">
      <c r="A326" t="s">
        <v>874</v>
      </c>
      <c r="B326" t="s">
        <v>7</v>
      </c>
      <c r="C326">
        <v>26</v>
      </c>
      <c r="D326">
        <v>16</v>
      </c>
      <c r="E326">
        <v>1398</v>
      </c>
      <c r="F326" t="str">
        <f>IF(Estadisticas_jugador[[#This Row],[minutes_played]]&gt;900, "Si", "No")</f>
        <v>Si</v>
      </c>
      <c r="G326">
        <v>0</v>
      </c>
      <c r="H326">
        <v>0</v>
      </c>
      <c r="I326">
        <v>1.2022999999999999</v>
      </c>
      <c r="J326">
        <v>0.82576117999999998</v>
      </c>
      <c r="K326">
        <v>6.5153846153846002</v>
      </c>
      <c r="L326">
        <v>32</v>
      </c>
      <c r="M326">
        <v>5</v>
      </c>
      <c r="N326">
        <v>2</v>
      </c>
      <c r="O326">
        <v>0</v>
      </c>
      <c r="P326">
        <v>29</v>
      </c>
      <c r="Q326">
        <v>3</v>
      </c>
      <c r="R326">
        <f>Estadisticas_jugador[[#This Row],[tackles]]+Estadisticas_jugador[[#This Row],[interceptions]]</f>
        <v>32</v>
      </c>
      <c r="S326">
        <v>0</v>
      </c>
    </row>
    <row r="327" spans="1:19" x14ac:dyDescent="0.3">
      <c r="A327" t="s">
        <v>875</v>
      </c>
      <c r="B327" t="s">
        <v>7</v>
      </c>
      <c r="C327">
        <v>6</v>
      </c>
      <c r="D327">
        <v>0</v>
      </c>
      <c r="E327">
        <v>73</v>
      </c>
      <c r="F327" t="str">
        <f>IF(Estadisticas_jugador[[#This Row],[minutes_played]]&gt;900, "Si", "No")</f>
        <v>No</v>
      </c>
      <c r="G327">
        <v>0</v>
      </c>
      <c r="H327">
        <v>0</v>
      </c>
      <c r="I327">
        <v>0.1663</v>
      </c>
      <c r="J327">
        <v>0.32275288000000002</v>
      </c>
      <c r="K327">
        <v>6.5833333333333002</v>
      </c>
      <c r="L327">
        <v>1</v>
      </c>
      <c r="M327">
        <v>1</v>
      </c>
      <c r="N327">
        <v>2</v>
      </c>
      <c r="O327">
        <v>0</v>
      </c>
      <c r="P327">
        <v>3</v>
      </c>
      <c r="Q327">
        <v>0</v>
      </c>
      <c r="R327">
        <f>Estadisticas_jugador[[#This Row],[tackles]]+Estadisticas_jugador[[#This Row],[interceptions]]</f>
        <v>3</v>
      </c>
      <c r="S327">
        <v>0</v>
      </c>
    </row>
    <row r="328" spans="1:19" x14ac:dyDescent="0.3">
      <c r="A328" t="s">
        <v>876</v>
      </c>
      <c r="B328" t="s">
        <v>7</v>
      </c>
      <c r="C328">
        <v>21</v>
      </c>
      <c r="D328">
        <v>15</v>
      </c>
      <c r="E328">
        <v>1223</v>
      </c>
      <c r="F328" t="str">
        <f>IF(Estadisticas_jugador[[#This Row],[minutes_played]]&gt;900, "Si", "No")</f>
        <v>Si</v>
      </c>
      <c r="G328">
        <v>0</v>
      </c>
      <c r="H328">
        <v>3</v>
      </c>
      <c r="I328">
        <v>0.73450000000000004</v>
      </c>
      <c r="J328">
        <v>1.2133402600000001</v>
      </c>
      <c r="K328">
        <v>6.76</v>
      </c>
      <c r="L328">
        <v>17</v>
      </c>
      <c r="M328">
        <v>4</v>
      </c>
      <c r="N328">
        <v>4</v>
      </c>
      <c r="O328">
        <v>1</v>
      </c>
      <c r="P328">
        <v>22</v>
      </c>
      <c r="Q328">
        <v>16</v>
      </c>
      <c r="R328">
        <f>Estadisticas_jugador[[#This Row],[tackles]]+Estadisticas_jugador[[#This Row],[interceptions]]</f>
        <v>38</v>
      </c>
      <c r="S328">
        <v>0</v>
      </c>
    </row>
    <row r="329" spans="1:19" x14ac:dyDescent="0.3">
      <c r="A329" t="s">
        <v>877</v>
      </c>
      <c r="B329" t="s">
        <v>7</v>
      </c>
      <c r="C329">
        <v>25</v>
      </c>
      <c r="D329">
        <v>10</v>
      </c>
      <c r="E329">
        <v>1106</v>
      </c>
      <c r="F329" t="str">
        <f>IF(Estadisticas_jugador[[#This Row],[minutes_played]]&gt;900, "Si", "No")</f>
        <v>Si</v>
      </c>
      <c r="G329">
        <v>2</v>
      </c>
      <c r="H329">
        <v>1</v>
      </c>
      <c r="I329">
        <v>1.6619999999999999</v>
      </c>
      <c r="J329">
        <v>1.1686676899999999</v>
      </c>
      <c r="K329">
        <v>6.5759999999999996</v>
      </c>
      <c r="L329">
        <v>15</v>
      </c>
      <c r="M329">
        <v>8</v>
      </c>
      <c r="N329">
        <v>4</v>
      </c>
      <c r="O329">
        <v>0</v>
      </c>
      <c r="P329">
        <v>14</v>
      </c>
      <c r="Q329">
        <v>2</v>
      </c>
      <c r="R329">
        <f>Estadisticas_jugador[[#This Row],[tackles]]+Estadisticas_jugador[[#This Row],[interceptions]]</f>
        <v>16</v>
      </c>
      <c r="S329">
        <v>0</v>
      </c>
    </row>
    <row r="330" spans="1:19" x14ac:dyDescent="0.3">
      <c r="A330" t="s">
        <v>878</v>
      </c>
      <c r="B330" t="s">
        <v>7</v>
      </c>
      <c r="C330">
        <v>25</v>
      </c>
      <c r="D330">
        <v>19</v>
      </c>
      <c r="E330">
        <v>1624</v>
      </c>
      <c r="F330" t="str">
        <f>IF(Estadisticas_jugador[[#This Row],[minutes_played]]&gt;900, "Si", "No")</f>
        <v>Si</v>
      </c>
      <c r="G330">
        <v>1</v>
      </c>
      <c r="H330">
        <v>0</v>
      </c>
      <c r="I330">
        <v>1.0088999999999999</v>
      </c>
      <c r="J330">
        <v>0.99110041000000004</v>
      </c>
      <c r="K330">
        <v>6.8239999999999998</v>
      </c>
      <c r="L330">
        <v>13</v>
      </c>
      <c r="M330">
        <v>4</v>
      </c>
      <c r="N330">
        <v>3</v>
      </c>
      <c r="O330">
        <v>1</v>
      </c>
      <c r="P330">
        <v>54</v>
      </c>
      <c r="Q330">
        <v>20</v>
      </c>
      <c r="R330">
        <f>Estadisticas_jugador[[#This Row],[tackles]]+Estadisticas_jugador[[#This Row],[interceptions]]</f>
        <v>74</v>
      </c>
      <c r="S330">
        <v>0</v>
      </c>
    </row>
    <row r="331" spans="1:19" x14ac:dyDescent="0.3">
      <c r="A331" t="s">
        <v>879</v>
      </c>
      <c r="B331" t="s">
        <v>7</v>
      </c>
      <c r="C331">
        <v>21</v>
      </c>
      <c r="D331">
        <v>10</v>
      </c>
      <c r="E331">
        <v>793</v>
      </c>
      <c r="F331" t="str">
        <f>IF(Estadisticas_jugador[[#This Row],[minutes_played]]&gt;900, "Si", "No")</f>
        <v>No</v>
      </c>
      <c r="G331">
        <v>0</v>
      </c>
      <c r="H331">
        <v>1</v>
      </c>
      <c r="I331">
        <v>0.25750000000000001</v>
      </c>
      <c r="J331">
        <v>1.15085342</v>
      </c>
      <c r="K331">
        <v>6.57</v>
      </c>
      <c r="L331">
        <v>9</v>
      </c>
      <c r="M331">
        <v>5</v>
      </c>
      <c r="N331">
        <v>4</v>
      </c>
      <c r="O331">
        <v>0</v>
      </c>
      <c r="P331">
        <v>17</v>
      </c>
      <c r="Q331">
        <v>6</v>
      </c>
      <c r="R331">
        <f>Estadisticas_jugador[[#This Row],[tackles]]+Estadisticas_jugador[[#This Row],[interceptions]]</f>
        <v>23</v>
      </c>
      <c r="S331">
        <v>0</v>
      </c>
    </row>
    <row r="332" spans="1:19" x14ac:dyDescent="0.3">
      <c r="A332" t="s">
        <v>880</v>
      </c>
      <c r="B332" t="s">
        <v>7</v>
      </c>
      <c r="C332">
        <v>26</v>
      </c>
      <c r="D332">
        <v>25</v>
      </c>
      <c r="E332">
        <v>2223</v>
      </c>
      <c r="F332" t="str">
        <f>IF(Estadisticas_jugador[[#This Row],[minutes_played]]&gt;900, "Si", "No")</f>
        <v>Si</v>
      </c>
      <c r="G332">
        <v>0</v>
      </c>
      <c r="H332">
        <v>3</v>
      </c>
      <c r="I332">
        <v>1.9918</v>
      </c>
      <c r="J332">
        <v>3.4680926900000002</v>
      </c>
      <c r="K332">
        <v>6.85</v>
      </c>
      <c r="L332">
        <v>25</v>
      </c>
      <c r="M332">
        <v>8</v>
      </c>
      <c r="N332">
        <v>7</v>
      </c>
      <c r="O332">
        <v>0</v>
      </c>
      <c r="P332">
        <v>49</v>
      </c>
      <c r="Q332">
        <v>33</v>
      </c>
      <c r="R332">
        <f>Estadisticas_jugador[[#This Row],[tackles]]+Estadisticas_jugador[[#This Row],[interceptions]]</f>
        <v>82</v>
      </c>
      <c r="S332">
        <v>0</v>
      </c>
    </row>
    <row r="333" spans="1:19" x14ac:dyDescent="0.3">
      <c r="A333" t="s">
        <v>881</v>
      </c>
      <c r="B333" t="s">
        <v>7</v>
      </c>
      <c r="C333">
        <v>18</v>
      </c>
      <c r="D333">
        <v>17</v>
      </c>
      <c r="E333">
        <v>1423</v>
      </c>
      <c r="F333" t="str">
        <f>IF(Estadisticas_jugador[[#This Row],[minutes_played]]&gt;900, "Si", "No")</f>
        <v>Si</v>
      </c>
      <c r="G333">
        <v>2</v>
      </c>
      <c r="H333">
        <v>0</v>
      </c>
      <c r="I333">
        <v>1.5789</v>
      </c>
      <c r="J333">
        <v>6.6527320000000001E-2</v>
      </c>
      <c r="K333">
        <v>6.7111111111110997</v>
      </c>
      <c r="L333">
        <v>11</v>
      </c>
      <c r="M333">
        <v>3</v>
      </c>
      <c r="N333">
        <v>4</v>
      </c>
      <c r="O333">
        <v>2</v>
      </c>
      <c r="P333">
        <v>19</v>
      </c>
      <c r="Q333">
        <v>17</v>
      </c>
      <c r="R333">
        <f>Estadisticas_jugador[[#This Row],[tackles]]+Estadisticas_jugador[[#This Row],[interceptions]]</f>
        <v>36</v>
      </c>
      <c r="S333">
        <v>0</v>
      </c>
    </row>
    <row r="334" spans="1:19" x14ac:dyDescent="0.3">
      <c r="A334" t="s">
        <v>882</v>
      </c>
      <c r="B334" t="s">
        <v>7</v>
      </c>
      <c r="C334">
        <v>29</v>
      </c>
      <c r="D334">
        <v>29</v>
      </c>
      <c r="E334">
        <v>2601</v>
      </c>
      <c r="F334" t="str">
        <f>IF(Estadisticas_jugador[[#This Row],[minutes_played]]&gt;900, "Si", "No")</f>
        <v>Si</v>
      </c>
      <c r="G334">
        <v>0</v>
      </c>
      <c r="H334">
        <v>1</v>
      </c>
      <c r="I334">
        <v>1.4436</v>
      </c>
      <c r="J334">
        <v>0.29088804000000001</v>
      </c>
      <c r="K334">
        <v>6.9862068965516997</v>
      </c>
      <c r="L334">
        <v>39</v>
      </c>
      <c r="M334">
        <v>12</v>
      </c>
      <c r="N334">
        <v>4</v>
      </c>
      <c r="O334">
        <v>0</v>
      </c>
      <c r="P334">
        <v>52</v>
      </c>
      <c r="Q334">
        <v>35</v>
      </c>
      <c r="R334">
        <f>Estadisticas_jugador[[#This Row],[tackles]]+Estadisticas_jugador[[#This Row],[interceptions]]</f>
        <v>87</v>
      </c>
      <c r="S334">
        <v>0</v>
      </c>
    </row>
    <row r="335" spans="1:19" x14ac:dyDescent="0.3">
      <c r="A335" t="s">
        <v>883</v>
      </c>
      <c r="B335" t="s">
        <v>7</v>
      </c>
      <c r="C335">
        <v>9</v>
      </c>
      <c r="D335">
        <v>6</v>
      </c>
      <c r="E335">
        <v>401</v>
      </c>
      <c r="F335" t="str">
        <f>IF(Estadisticas_jugador[[#This Row],[minutes_played]]&gt;900, "Si", "No")</f>
        <v>No</v>
      </c>
      <c r="G335">
        <v>0</v>
      </c>
      <c r="H335">
        <v>0</v>
      </c>
      <c r="I335">
        <v>0.38080000000000003</v>
      </c>
      <c r="J335">
        <v>1.2482450000000001E-2</v>
      </c>
      <c r="K335">
        <v>6.6111111111111001</v>
      </c>
      <c r="L335">
        <v>3</v>
      </c>
      <c r="M335">
        <v>1</v>
      </c>
      <c r="N335">
        <v>1</v>
      </c>
      <c r="O335">
        <v>0</v>
      </c>
      <c r="P335">
        <v>10</v>
      </c>
      <c r="Q335">
        <v>5</v>
      </c>
      <c r="R335">
        <f>Estadisticas_jugador[[#This Row],[tackles]]+Estadisticas_jugador[[#This Row],[interceptions]]</f>
        <v>15</v>
      </c>
      <c r="S335">
        <v>0</v>
      </c>
    </row>
    <row r="336" spans="1:19" x14ac:dyDescent="0.3">
      <c r="A336" t="s">
        <v>884</v>
      </c>
      <c r="B336" t="s">
        <v>7</v>
      </c>
      <c r="C336">
        <v>11</v>
      </c>
      <c r="D336">
        <v>3</v>
      </c>
      <c r="E336">
        <v>343</v>
      </c>
      <c r="F336" t="str">
        <f>IF(Estadisticas_jugador[[#This Row],[minutes_played]]&gt;900, "Si", "No")</f>
        <v>No</v>
      </c>
      <c r="G336">
        <v>0</v>
      </c>
      <c r="H336">
        <v>0</v>
      </c>
      <c r="I336">
        <v>0.32890000000000003</v>
      </c>
      <c r="J336">
        <v>0.24513486000000001</v>
      </c>
      <c r="K336">
        <v>6.72</v>
      </c>
      <c r="L336">
        <v>2</v>
      </c>
      <c r="M336">
        <v>0</v>
      </c>
      <c r="N336">
        <v>2</v>
      </c>
      <c r="O336">
        <v>0</v>
      </c>
      <c r="P336">
        <v>8</v>
      </c>
      <c r="Q336">
        <v>4</v>
      </c>
      <c r="R336">
        <f>Estadisticas_jugador[[#This Row],[tackles]]+Estadisticas_jugador[[#This Row],[interceptions]]</f>
        <v>12</v>
      </c>
      <c r="S336">
        <v>0</v>
      </c>
    </row>
    <row r="337" spans="1:19" x14ac:dyDescent="0.3">
      <c r="A337" t="s">
        <v>885</v>
      </c>
      <c r="B337" t="s">
        <v>7</v>
      </c>
      <c r="C337">
        <v>22</v>
      </c>
      <c r="D337">
        <v>10</v>
      </c>
      <c r="E337">
        <v>1055</v>
      </c>
      <c r="F337" t="str">
        <f>IF(Estadisticas_jugador[[#This Row],[minutes_played]]&gt;900, "Si", "No")</f>
        <v>Si</v>
      </c>
      <c r="G337">
        <v>2</v>
      </c>
      <c r="H337">
        <v>0</v>
      </c>
      <c r="I337">
        <v>1.4849000000000001</v>
      </c>
      <c r="J337">
        <v>1.81892751</v>
      </c>
      <c r="K337">
        <v>6.7549999999999999</v>
      </c>
      <c r="L337">
        <v>15</v>
      </c>
      <c r="M337">
        <v>7</v>
      </c>
      <c r="N337">
        <v>2</v>
      </c>
      <c r="O337">
        <v>0</v>
      </c>
      <c r="P337">
        <v>34</v>
      </c>
      <c r="Q337">
        <v>11</v>
      </c>
      <c r="R337">
        <f>Estadisticas_jugador[[#This Row],[tackles]]+Estadisticas_jugador[[#This Row],[interceptions]]</f>
        <v>45</v>
      </c>
      <c r="S337">
        <v>0</v>
      </c>
    </row>
    <row r="338" spans="1:19" x14ac:dyDescent="0.3">
      <c r="A338" t="s">
        <v>886</v>
      </c>
      <c r="B338" t="s">
        <v>7</v>
      </c>
      <c r="C338">
        <v>25</v>
      </c>
      <c r="D338">
        <v>23</v>
      </c>
      <c r="E338">
        <v>2105</v>
      </c>
      <c r="F338" t="str">
        <f>IF(Estadisticas_jugador[[#This Row],[minutes_played]]&gt;900, "Si", "No")</f>
        <v>Si</v>
      </c>
      <c r="G338">
        <v>1</v>
      </c>
      <c r="H338">
        <v>2</v>
      </c>
      <c r="I338">
        <v>0.45350000000000001</v>
      </c>
      <c r="J338">
        <v>2.8788184399999999</v>
      </c>
      <c r="K338">
        <v>6.8280000000000003</v>
      </c>
      <c r="L338">
        <v>14</v>
      </c>
      <c r="M338">
        <v>2</v>
      </c>
      <c r="N338">
        <v>4</v>
      </c>
      <c r="O338">
        <v>1</v>
      </c>
      <c r="P338">
        <v>44</v>
      </c>
      <c r="Q338">
        <v>27</v>
      </c>
      <c r="R338">
        <f>Estadisticas_jugador[[#This Row],[tackles]]+Estadisticas_jugador[[#This Row],[interceptions]]</f>
        <v>71</v>
      </c>
      <c r="S338">
        <v>0</v>
      </c>
    </row>
    <row r="339" spans="1:19" x14ac:dyDescent="0.3">
      <c r="A339" t="s">
        <v>887</v>
      </c>
      <c r="B339" t="s">
        <v>7</v>
      </c>
      <c r="C339">
        <v>7</v>
      </c>
      <c r="D339">
        <v>1</v>
      </c>
      <c r="E339">
        <v>270</v>
      </c>
      <c r="F339" t="str">
        <f>IF(Estadisticas_jugador[[#This Row],[minutes_played]]&gt;900, "Si", "No")</f>
        <v>No</v>
      </c>
      <c r="G339">
        <v>0</v>
      </c>
      <c r="H339">
        <v>0</v>
      </c>
      <c r="I339">
        <v>4.9000000000000002E-2</v>
      </c>
      <c r="J339">
        <v>1.803956E-2</v>
      </c>
      <c r="K339">
        <v>6.2714285714285998</v>
      </c>
      <c r="L339">
        <v>1</v>
      </c>
      <c r="M339">
        <v>0</v>
      </c>
      <c r="N339">
        <v>0</v>
      </c>
      <c r="O339">
        <v>0</v>
      </c>
      <c r="P339">
        <v>4</v>
      </c>
      <c r="Q339">
        <v>3</v>
      </c>
      <c r="R339">
        <f>Estadisticas_jugador[[#This Row],[tackles]]+Estadisticas_jugador[[#This Row],[interceptions]]</f>
        <v>7</v>
      </c>
      <c r="S339">
        <v>0</v>
      </c>
    </row>
    <row r="340" spans="1:19" x14ac:dyDescent="0.3">
      <c r="A340" t="s">
        <v>888</v>
      </c>
      <c r="B340" t="s">
        <v>7</v>
      </c>
      <c r="C340">
        <v>29</v>
      </c>
      <c r="D340">
        <v>29</v>
      </c>
      <c r="E340">
        <v>2610</v>
      </c>
      <c r="F340" t="str">
        <f>IF(Estadisticas_jugador[[#This Row],[minutes_played]]&gt;900, "Si", "No")</f>
        <v>Si</v>
      </c>
      <c r="G340">
        <v>0</v>
      </c>
      <c r="H340">
        <v>0</v>
      </c>
      <c r="J340">
        <v>9.5505060000000003E-2</v>
      </c>
      <c r="K340">
        <v>6.9689655172413998</v>
      </c>
      <c r="L340">
        <v>0</v>
      </c>
      <c r="M340">
        <v>0</v>
      </c>
      <c r="N340">
        <v>4</v>
      </c>
      <c r="O340">
        <v>0</v>
      </c>
      <c r="P340">
        <v>1</v>
      </c>
      <c r="Q340">
        <v>0</v>
      </c>
      <c r="R340">
        <f>Estadisticas_jugador[[#This Row],[tackles]]+Estadisticas_jugador[[#This Row],[interceptions]]</f>
        <v>1</v>
      </c>
      <c r="S340">
        <v>78</v>
      </c>
    </row>
    <row r="341" spans="1:19" x14ac:dyDescent="0.3">
      <c r="A341" t="s">
        <v>889</v>
      </c>
      <c r="B341" t="s">
        <v>7</v>
      </c>
      <c r="C341">
        <v>10</v>
      </c>
      <c r="D341">
        <v>3</v>
      </c>
      <c r="E341">
        <v>295</v>
      </c>
      <c r="F341" t="str">
        <f>IF(Estadisticas_jugador[[#This Row],[minutes_played]]&gt;900, "Si", "No")</f>
        <v>No</v>
      </c>
      <c r="G341">
        <v>0</v>
      </c>
      <c r="H341">
        <v>0</v>
      </c>
      <c r="I341">
        <v>0.2366</v>
      </c>
      <c r="J341">
        <v>0.19745067999999999</v>
      </c>
      <c r="K341">
        <v>6.36</v>
      </c>
      <c r="L341">
        <v>6</v>
      </c>
      <c r="M341">
        <v>3</v>
      </c>
      <c r="N341">
        <v>1</v>
      </c>
      <c r="O341">
        <v>0</v>
      </c>
      <c r="P341">
        <v>4</v>
      </c>
      <c r="Q341">
        <v>0</v>
      </c>
      <c r="R341">
        <f>Estadisticas_jugador[[#This Row],[tackles]]+Estadisticas_jugador[[#This Row],[interceptions]]</f>
        <v>4</v>
      </c>
      <c r="S341">
        <v>0</v>
      </c>
    </row>
    <row r="342" spans="1:19" x14ac:dyDescent="0.3">
      <c r="A342" t="s">
        <v>890</v>
      </c>
      <c r="B342" t="s">
        <v>7</v>
      </c>
      <c r="C342">
        <v>23</v>
      </c>
      <c r="D342">
        <v>19</v>
      </c>
      <c r="E342">
        <v>1758</v>
      </c>
      <c r="F342" t="str">
        <f>IF(Estadisticas_jugador[[#This Row],[minutes_played]]&gt;900, "Si", "No")</f>
        <v>Si</v>
      </c>
      <c r="G342">
        <v>9</v>
      </c>
      <c r="H342">
        <v>1</v>
      </c>
      <c r="I342">
        <v>7.9611000000000001</v>
      </c>
      <c r="J342">
        <v>1.6072758300000001</v>
      </c>
      <c r="K342">
        <v>6.7695652173912997</v>
      </c>
      <c r="L342">
        <v>54</v>
      </c>
      <c r="M342">
        <v>18</v>
      </c>
      <c r="N342">
        <v>2</v>
      </c>
      <c r="O342">
        <v>1</v>
      </c>
      <c r="P342">
        <v>32</v>
      </c>
      <c r="Q342">
        <v>7</v>
      </c>
      <c r="R342">
        <f>Estadisticas_jugador[[#This Row],[tackles]]+Estadisticas_jugador[[#This Row],[interceptions]]</f>
        <v>39</v>
      </c>
      <c r="S342">
        <v>0</v>
      </c>
    </row>
    <row r="343" spans="1:19" x14ac:dyDescent="0.3">
      <c r="A343" t="s">
        <v>891</v>
      </c>
      <c r="B343" t="s">
        <v>7</v>
      </c>
      <c r="C343">
        <v>28</v>
      </c>
      <c r="D343">
        <v>23</v>
      </c>
      <c r="E343">
        <v>1955</v>
      </c>
      <c r="F343" t="str">
        <f>IF(Estadisticas_jugador[[#This Row],[minutes_played]]&gt;900, "Si", "No")</f>
        <v>Si</v>
      </c>
      <c r="G343">
        <v>7</v>
      </c>
      <c r="H343">
        <v>3</v>
      </c>
      <c r="I343">
        <v>6.8277000000000001</v>
      </c>
      <c r="J343">
        <v>1.34132889</v>
      </c>
      <c r="K343">
        <v>6.9214285714286001</v>
      </c>
      <c r="L343">
        <v>65</v>
      </c>
      <c r="M343">
        <v>22</v>
      </c>
      <c r="N343">
        <v>1</v>
      </c>
      <c r="O343">
        <v>0</v>
      </c>
      <c r="P343">
        <v>24</v>
      </c>
      <c r="Q343">
        <v>4</v>
      </c>
      <c r="R343">
        <f>Estadisticas_jugador[[#This Row],[tackles]]+Estadisticas_jugador[[#This Row],[interceptions]]</f>
        <v>28</v>
      </c>
      <c r="S343">
        <v>0</v>
      </c>
    </row>
    <row r="344" spans="1:19" x14ac:dyDescent="0.3">
      <c r="A344" t="s">
        <v>892</v>
      </c>
      <c r="B344" t="s">
        <v>7</v>
      </c>
      <c r="C344">
        <v>1</v>
      </c>
      <c r="D344">
        <v>0</v>
      </c>
      <c r="E344">
        <v>45</v>
      </c>
      <c r="F344" t="str">
        <f>IF(Estadisticas_jugador[[#This Row],[minutes_played]]&gt;900, "Si", "No")</f>
        <v>No</v>
      </c>
      <c r="G344">
        <v>0</v>
      </c>
      <c r="H344">
        <v>0</v>
      </c>
      <c r="I344">
        <v>0.1104</v>
      </c>
      <c r="J344">
        <v>3.6271400000000001E-3</v>
      </c>
      <c r="K344">
        <v>6.6</v>
      </c>
      <c r="L344">
        <v>2</v>
      </c>
      <c r="M344">
        <v>1</v>
      </c>
      <c r="N344">
        <v>0</v>
      </c>
      <c r="O344">
        <v>0</v>
      </c>
      <c r="P344">
        <v>2</v>
      </c>
      <c r="Q344">
        <v>0</v>
      </c>
      <c r="R344">
        <f>Estadisticas_jugador[[#This Row],[tackles]]+Estadisticas_jugador[[#This Row],[interceptions]]</f>
        <v>2</v>
      </c>
      <c r="S344">
        <v>0</v>
      </c>
    </row>
    <row r="345" spans="1:19" x14ac:dyDescent="0.3">
      <c r="A345" t="s">
        <v>893</v>
      </c>
      <c r="B345" t="s">
        <v>7</v>
      </c>
      <c r="C345">
        <v>21</v>
      </c>
      <c r="D345">
        <v>11</v>
      </c>
      <c r="E345">
        <v>1168</v>
      </c>
      <c r="F345" t="str">
        <f>IF(Estadisticas_jugador[[#This Row],[minutes_played]]&gt;900, "Si", "No")</f>
        <v>Si</v>
      </c>
      <c r="G345">
        <v>0</v>
      </c>
      <c r="H345">
        <v>1</v>
      </c>
      <c r="I345">
        <v>0.77569999999999995</v>
      </c>
      <c r="J345">
        <v>1.95299862</v>
      </c>
      <c r="K345">
        <v>6.6684210526315999</v>
      </c>
      <c r="L345">
        <v>10</v>
      </c>
      <c r="M345">
        <v>2</v>
      </c>
      <c r="N345">
        <v>5</v>
      </c>
      <c r="O345">
        <v>0</v>
      </c>
      <c r="P345">
        <v>14</v>
      </c>
      <c r="Q345">
        <v>10</v>
      </c>
      <c r="R345">
        <f>Estadisticas_jugador[[#This Row],[tackles]]+Estadisticas_jugador[[#This Row],[interceptions]]</f>
        <v>24</v>
      </c>
      <c r="S345">
        <v>0</v>
      </c>
    </row>
    <row r="346" spans="1:19" x14ac:dyDescent="0.3">
      <c r="A346" t="s">
        <v>894</v>
      </c>
      <c r="B346" t="s">
        <v>7</v>
      </c>
      <c r="C346">
        <v>27</v>
      </c>
      <c r="D346">
        <v>27</v>
      </c>
      <c r="E346">
        <v>2321</v>
      </c>
      <c r="F346" t="str">
        <f>IF(Estadisticas_jugador[[#This Row],[minutes_played]]&gt;900, "Si", "No")</f>
        <v>Si</v>
      </c>
      <c r="G346">
        <v>1</v>
      </c>
      <c r="H346">
        <v>1</v>
      </c>
      <c r="I346">
        <v>0.77370000000000005</v>
      </c>
      <c r="J346">
        <v>1.0902438299999999</v>
      </c>
      <c r="K346">
        <v>6.8703703703704004</v>
      </c>
      <c r="L346">
        <v>29</v>
      </c>
      <c r="M346">
        <v>11</v>
      </c>
      <c r="N346">
        <v>6</v>
      </c>
      <c r="O346">
        <v>0</v>
      </c>
      <c r="P346">
        <v>74</v>
      </c>
      <c r="Q346">
        <v>44</v>
      </c>
      <c r="R346">
        <f>Estadisticas_jugador[[#This Row],[tackles]]+Estadisticas_jugador[[#This Row],[interceptions]]</f>
        <v>118</v>
      </c>
      <c r="S346">
        <v>0</v>
      </c>
    </row>
    <row r="347" spans="1:19" x14ac:dyDescent="0.3">
      <c r="A347" t="s">
        <v>895</v>
      </c>
      <c r="B347" t="s">
        <v>7</v>
      </c>
      <c r="C347">
        <v>29</v>
      </c>
      <c r="D347">
        <v>22</v>
      </c>
      <c r="E347">
        <v>1814</v>
      </c>
      <c r="F347" t="str">
        <f>IF(Estadisticas_jugador[[#This Row],[minutes_played]]&gt;900, "Si", "No")</f>
        <v>Si</v>
      </c>
      <c r="G347">
        <v>0</v>
      </c>
      <c r="H347">
        <v>4</v>
      </c>
      <c r="I347">
        <v>2.5524</v>
      </c>
      <c r="J347">
        <v>2.8951177000000001</v>
      </c>
      <c r="K347">
        <v>6.5689655172414003</v>
      </c>
      <c r="L347">
        <v>26</v>
      </c>
      <c r="M347">
        <v>5</v>
      </c>
      <c r="N347">
        <v>4</v>
      </c>
      <c r="O347">
        <v>0</v>
      </c>
      <c r="P347">
        <v>35</v>
      </c>
      <c r="Q347">
        <v>10</v>
      </c>
      <c r="R347">
        <f>Estadisticas_jugador[[#This Row],[tackles]]+Estadisticas_jugador[[#This Row],[interceptions]]</f>
        <v>45</v>
      </c>
      <c r="S347">
        <v>0</v>
      </c>
    </row>
    <row r="348" spans="1:19" x14ac:dyDescent="0.3">
      <c r="A348" t="s">
        <v>896</v>
      </c>
      <c r="B348" t="s">
        <v>7</v>
      </c>
      <c r="C348">
        <v>22</v>
      </c>
      <c r="D348">
        <v>8</v>
      </c>
      <c r="E348">
        <v>879</v>
      </c>
      <c r="F348" t="str">
        <f>IF(Estadisticas_jugador[[#This Row],[minutes_played]]&gt;900, "Si", "No")</f>
        <v>No</v>
      </c>
      <c r="G348">
        <v>1</v>
      </c>
      <c r="H348">
        <v>1</v>
      </c>
      <c r="I348">
        <v>2.0516999999999999</v>
      </c>
      <c r="J348">
        <v>1.97643513</v>
      </c>
      <c r="K348">
        <v>6.7190476190475996</v>
      </c>
      <c r="L348">
        <v>27</v>
      </c>
      <c r="M348">
        <v>9</v>
      </c>
      <c r="N348">
        <v>4</v>
      </c>
      <c r="O348">
        <v>0</v>
      </c>
      <c r="P348">
        <v>26</v>
      </c>
      <c r="Q348">
        <v>8</v>
      </c>
      <c r="R348">
        <f>Estadisticas_jugador[[#This Row],[tackles]]+Estadisticas_jugador[[#This Row],[interceptions]]</f>
        <v>34</v>
      </c>
      <c r="S348">
        <v>0</v>
      </c>
    </row>
    <row r="349" spans="1:19" x14ac:dyDescent="0.3">
      <c r="A349" t="s">
        <v>897</v>
      </c>
      <c r="B349" t="s">
        <v>7</v>
      </c>
      <c r="C349">
        <v>22</v>
      </c>
      <c r="D349">
        <v>11</v>
      </c>
      <c r="E349">
        <v>1077</v>
      </c>
      <c r="F349" t="str">
        <f>IF(Estadisticas_jugador[[#This Row],[minutes_played]]&gt;900, "Si", "No")</f>
        <v>Si</v>
      </c>
      <c r="G349">
        <v>1</v>
      </c>
      <c r="H349">
        <v>1</v>
      </c>
      <c r="I349">
        <v>0.83130000000000004</v>
      </c>
      <c r="J349">
        <v>1.1472381599999999</v>
      </c>
      <c r="K349">
        <v>6.7272727272727</v>
      </c>
      <c r="L349">
        <v>6</v>
      </c>
      <c r="M349">
        <v>3</v>
      </c>
      <c r="N349">
        <v>5</v>
      </c>
      <c r="O349">
        <v>0</v>
      </c>
      <c r="P349">
        <v>19</v>
      </c>
      <c r="Q349">
        <v>6</v>
      </c>
      <c r="R349">
        <f>Estadisticas_jugador[[#This Row],[tackles]]+Estadisticas_jugador[[#This Row],[interceptions]]</f>
        <v>25</v>
      </c>
      <c r="S349">
        <v>0</v>
      </c>
    </row>
    <row r="350" spans="1:19" x14ac:dyDescent="0.3">
      <c r="A350" t="s">
        <v>898</v>
      </c>
      <c r="B350" t="s">
        <v>7</v>
      </c>
      <c r="C350">
        <v>17</v>
      </c>
      <c r="D350">
        <v>13</v>
      </c>
      <c r="E350">
        <v>731</v>
      </c>
      <c r="F350" t="str">
        <f>IF(Estadisticas_jugador[[#This Row],[minutes_played]]&gt;900, "Si", "No")</f>
        <v>No</v>
      </c>
      <c r="G350">
        <v>0</v>
      </c>
      <c r="H350">
        <v>0</v>
      </c>
      <c r="I350">
        <v>0.1321</v>
      </c>
      <c r="J350">
        <v>0.40224848000000002</v>
      </c>
      <c r="K350">
        <v>6.6823529411765001</v>
      </c>
      <c r="L350">
        <v>5</v>
      </c>
      <c r="M350">
        <v>1</v>
      </c>
      <c r="N350">
        <v>2</v>
      </c>
      <c r="O350">
        <v>0</v>
      </c>
      <c r="P350">
        <v>25</v>
      </c>
      <c r="Q350">
        <v>6</v>
      </c>
      <c r="R350">
        <f>Estadisticas_jugador[[#This Row],[tackles]]+Estadisticas_jugador[[#This Row],[interceptions]]</f>
        <v>31</v>
      </c>
      <c r="S350">
        <v>0</v>
      </c>
    </row>
    <row r="351" spans="1:19" x14ac:dyDescent="0.3">
      <c r="A351" t="s">
        <v>899</v>
      </c>
      <c r="B351" t="s">
        <v>7</v>
      </c>
      <c r="C351">
        <v>9</v>
      </c>
      <c r="D351">
        <v>3</v>
      </c>
      <c r="E351">
        <v>255</v>
      </c>
      <c r="F351" t="str">
        <f>IF(Estadisticas_jugador[[#This Row],[minutes_played]]&gt;900, "Si", "No")</f>
        <v>No</v>
      </c>
      <c r="G351">
        <v>0</v>
      </c>
      <c r="H351">
        <v>0</v>
      </c>
      <c r="I351">
        <v>0.2303</v>
      </c>
      <c r="J351">
        <v>0.20638603</v>
      </c>
      <c r="K351">
        <v>6.6333333333333</v>
      </c>
      <c r="L351">
        <v>3</v>
      </c>
      <c r="M351">
        <v>2</v>
      </c>
      <c r="N351">
        <v>0</v>
      </c>
      <c r="O351">
        <v>1</v>
      </c>
      <c r="P351">
        <v>10</v>
      </c>
      <c r="Q351">
        <v>2</v>
      </c>
      <c r="R351">
        <f>Estadisticas_jugador[[#This Row],[tackles]]+Estadisticas_jugador[[#This Row],[interceptions]]</f>
        <v>12</v>
      </c>
      <c r="S351">
        <v>0</v>
      </c>
    </row>
    <row r="352" spans="1:19" x14ac:dyDescent="0.3">
      <c r="A352" t="s">
        <v>900</v>
      </c>
      <c r="B352" t="s">
        <v>7</v>
      </c>
      <c r="C352">
        <v>28</v>
      </c>
      <c r="D352">
        <v>22</v>
      </c>
      <c r="E352">
        <v>1756</v>
      </c>
      <c r="F352" t="str">
        <f>IF(Estadisticas_jugador[[#This Row],[minutes_played]]&gt;900, "Si", "No")</f>
        <v>Si</v>
      </c>
      <c r="G352">
        <v>1</v>
      </c>
      <c r="H352">
        <v>1</v>
      </c>
      <c r="I352">
        <v>3.7570999999999999</v>
      </c>
      <c r="J352">
        <v>1.1063223799999999</v>
      </c>
      <c r="K352">
        <v>6.7035714285713999</v>
      </c>
      <c r="L352">
        <v>39</v>
      </c>
      <c r="M352">
        <v>11</v>
      </c>
      <c r="N352">
        <v>5</v>
      </c>
      <c r="O352">
        <v>0</v>
      </c>
      <c r="P352">
        <v>38</v>
      </c>
      <c r="Q352">
        <v>15</v>
      </c>
      <c r="R352">
        <f>Estadisticas_jugador[[#This Row],[tackles]]+Estadisticas_jugador[[#This Row],[interceptions]]</f>
        <v>53</v>
      </c>
      <c r="S352">
        <v>0</v>
      </c>
    </row>
    <row r="353" spans="1:19" x14ac:dyDescent="0.3">
      <c r="A353" t="s">
        <v>901</v>
      </c>
      <c r="B353" t="s">
        <v>7</v>
      </c>
      <c r="C353">
        <v>19</v>
      </c>
      <c r="D353">
        <v>8</v>
      </c>
      <c r="E353">
        <v>710</v>
      </c>
      <c r="F353" t="str">
        <f>IF(Estadisticas_jugador[[#This Row],[minutes_played]]&gt;900, "Si", "No")</f>
        <v>No</v>
      </c>
      <c r="G353">
        <v>0</v>
      </c>
      <c r="H353">
        <v>0</v>
      </c>
      <c r="I353">
        <v>1.2062999999999999</v>
      </c>
      <c r="J353">
        <v>0.19323076</v>
      </c>
      <c r="K353">
        <v>6.4470588235294004</v>
      </c>
      <c r="L353">
        <v>8</v>
      </c>
      <c r="M353">
        <v>2</v>
      </c>
      <c r="N353">
        <v>1</v>
      </c>
      <c r="O353">
        <v>0</v>
      </c>
      <c r="P353">
        <v>14</v>
      </c>
      <c r="Q353">
        <v>4</v>
      </c>
      <c r="R353">
        <f>Estadisticas_jugador[[#This Row],[tackles]]+Estadisticas_jugador[[#This Row],[interceptions]]</f>
        <v>18</v>
      </c>
      <c r="S353">
        <v>0</v>
      </c>
    </row>
    <row r="354" spans="1:19" x14ac:dyDescent="0.3">
      <c r="A354" t="s">
        <v>902</v>
      </c>
      <c r="B354" t="s">
        <v>7</v>
      </c>
      <c r="C354">
        <v>19</v>
      </c>
      <c r="D354">
        <v>2</v>
      </c>
      <c r="E354">
        <v>576</v>
      </c>
      <c r="F354" t="str">
        <f>IF(Estadisticas_jugador[[#This Row],[minutes_played]]&gt;900, "Si", "No")</f>
        <v>No</v>
      </c>
      <c r="G354">
        <v>1</v>
      </c>
      <c r="H354">
        <v>0</v>
      </c>
      <c r="I354">
        <v>0.2031</v>
      </c>
      <c r="J354">
        <v>0.24507181</v>
      </c>
      <c r="K354">
        <v>6.6473684210526001</v>
      </c>
      <c r="L354">
        <v>4</v>
      </c>
      <c r="M354">
        <v>1</v>
      </c>
      <c r="N354">
        <v>2</v>
      </c>
      <c r="O354">
        <v>1</v>
      </c>
      <c r="P354">
        <v>12</v>
      </c>
      <c r="Q354">
        <v>7</v>
      </c>
      <c r="R354">
        <f>Estadisticas_jugador[[#This Row],[tackles]]+Estadisticas_jugador[[#This Row],[interceptions]]</f>
        <v>19</v>
      </c>
      <c r="S354">
        <v>0</v>
      </c>
    </row>
    <row r="355" spans="1:19" x14ac:dyDescent="0.3">
      <c r="A355" t="s">
        <v>903</v>
      </c>
      <c r="B355" t="s">
        <v>7</v>
      </c>
      <c r="C355">
        <v>10</v>
      </c>
      <c r="D355">
        <v>8</v>
      </c>
      <c r="E355">
        <v>792</v>
      </c>
      <c r="F355" t="str">
        <f>IF(Estadisticas_jugador[[#This Row],[minutes_played]]&gt;900, "Si", "No")</f>
        <v>No</v>
      </c>
      <c r="G355">
        <v>0</v>
      </c>
      <c r="H355">
        <v>0</v>
      </c>
      <c r="I355">
        <v>0.34870000000000001</v>
      </c>
      <c r="J355">
        <v>6.9932590000000003E-2</v>
      </c>
      <c r="K355">
        <v>6.62</v>
      </c>
      <c r="L355">
        <v>8</v>
      </c>
      <c r="M355">
        <v>4</v>
      </c>
      <c r="N355">
        <v>3</v>
      </c>
      <c r="O355">
        <v>0</v>
      </c>
      <c r="P355">
        <v>13</v>
      </c>
      <c r="Q355">
        <v>7</v>
      </c>
      <c r="R355">
        <f>Estadisticas_jugador[[#This Row],[tackles]]+Estadisticas_jugador[[#This Row],[interceptions]]</f>
        <v>20</v>
      </c>
      <c r="S355">
        <v>0</v>
      </c>
    </row>
    <row r="356" spans="1:19" x14ac:dyDescent="0.3">
      <c r="A356" t="s">
        <v>904</v>
      </c>
      <c r="B356" t="s">
        <v>7</v>
      </c>
      <c r="C356">
        <v>27</v>
      </c>
      <c r="D356">
        <v>27</v>
      </c>
      <c r="E356">
        <v>2429</v>
      </c>
      <c r="F356" t="str">
        <f>IF(Estadisticas_jugador[[#This Row],[minutes_played]]&gt;900, "Si", "No")</f>
        <v>Si</v>
      </c>
      <c r="G356">
        <v>1</v>
      </c>
      <c r="H356">
        <v>0</v>
      </c>
      <c r="I356">
        <v>0.95189999999999997</v>
      </c>
      <c r="J356">
        <v>0.37568369000000001</v>
      </c>
      <c r="K356">
        <v>6.7555555555555999</v>
      </c>
      <c r="L356">
        <v>16</v>
      </c>
      <c r="M356">
        <v>4</v>
      </c>
      <c r="N356">
        <v>2</v>
      </c>
      <c r="O356">
        <v>0</v>
      </c>
      <c r="P356">
        <v>45</v>
      </c>
      <c r="Q356">
        <v>33</v>
      </c>
      <c r="R356">
        <f>Estadisticas_jugador[[#This Row],[tackles]]+Estadisticas_jugador[[#This Row],[interceptions]]</f>
        <v>78</v>
      </c>
      <c r="S356">
        <v>0</v>
      </c>
    </row>
    <row r="357" spans="1:19" x14ac:dyDescent="0.3">
      <c r="A357" t="s">
        <v>905</v>
      </c>
      <c r="B357" t="s">
        <v>7</v>
      </c>
      <c r="C357">
        <v>28</v>
      </c>
      <c r="D357">
        <v>28</v>
      </c>
      <c r="E357">
        <v>2458</v>
      </c>
      <c r="F357" t="str">
        <f>IF(Estadisticas_jugador[[#This Row],[minutes_played]]&gt;900, "Si", "No")</f>
        <v>Si</v>
      </c>
      <c r="G357">
        <v>0</v>
      </c>
      <c r="H357">
        <v>0</v>
      </c>
      <c r="I357">
        <v>0.45340000000000003</v>
      </c>
      <c r="J357">
        <v>1.5502402500000001</v>
      </c>
      <c r="K357">
        <v>6.7214285714286</v>
      </c>
      <c r="L357">
        <v>7</v>
      </c>
      <c r="M357">
        <v>2</v>
      </c>
      <c r="N357">
        <v>5</v>
      </c>
      <c r="O357">
        <v>0</v>
      </c>
      <c r="P357">
        <v>57</v>
      </c>
      <c r="Q357">
        <v>35</v>
      </c>
      <c r="R357">
        <f>Estadisticas_jugador[[#This Row],[tackles]]+Estadisticas_jugador[[#This Row],[interceptions]]</f>
        <v>92</v>
      </c>
      <c r="S357">
        <v>0</v>
      </c>
    </row>
    <row r="358" spans="1:19" x14ac:dyDescent="0.3">
      <c r="A358" t="s">
        <v>906</v>
      </c>
      <c r="B358" t="s">
        <v>7</v>
      </c>
      <c r="C358">
        <v>21</v>
      </c>
      <c r="D358">
        <v>20</v>
      </c>
      <c r="E358">
        <v>1725</v>
      </c>
      <c r="F358" t="str">
        <f>IF(Estadisticas_jugador[[#This Row],[minutes_played]]&gt;900, "Si", "No")</f>
        <v>Si</v>
      </c>
      <c r="G358">
        <v>0</v>
      </c>
      <c r="H358">
        <v>0</v>
      </c>
      <c r="I358">
        <v>0.29830000000000001</v>
      </c>
      <c r="J358">
        <v>0.30440386000000003</v>
      </c>
      <c r="K358">
        <v>6.7714285714285998</v>
      </c>
      <c r="L358">
        <v>4</v>
      </c>
      <c r="M358">
        <v>1</v>
      </c>
      <c r="N358">
        <v>4</v>
      </c>
      <c r="O358">
        <v>1</v>
      </c>
      <c r="P358">
        <v>36</v>
      </c>
      <c r="Q358">
        <v>11</v>
      </c>
      <c r="R358">
        <f>Estadisticas_jugador[[#This Row],[tackles]]+Estadisticas_jugador[[#This Row],[interceptions]]</f>
        <v>47</v>
      </c>
      <c r="S358">
        <v>0</v>
      </c>
    </row>
    <row r="359" spans="1:19" x14ac:dyDescent="0.3">
      <c r="A359" t="s">
        <v>907</v>
      </c>
      <c r="B359" t="s">
        <v>7</v>
      </c>
      <c r="C359">
        <v>2</v>
      </c>
      <c r="D359">
        <v>0</v>
      </c>
      <c r="E359">
        <v>11</v>
      </c>
      <c r="F359" t="str">
        <f>IF(Estadisticas_jugador[[#This Row],[minutes_played]]&gt;900, "Si", "No")</f>
        <v>No</v>
      </c>
      <c r="G359">
        <v>0</v>
      </c>
      <c r="H359">
        <v>0</v>
      </c>
      <c r="K359">
        <v>6.4</v>
      </c>
      <c r="L359">
        <v>0</v>
      </c>
      <c r="M359">
        <v>0</v>
      </c>
      <c r="N359">
        <v>0</v>
      </c>
      <c r="O359">
        <v>0</v>
      </c>
      <c r="P359">
        <v>2</v>
      </c>
      <c r="Q359">
        <v>1</v>
      </c>
      <c r="R359">
        <f>Estadisticas_jugador[[#This Row],[tackles]]+Estadisticas_jugador[[#This Row],[interceptions]]</f>
        <v>3</v>
      </c>
      <c r="S359">
        <v>0</v>
      </c>
    </row>
    <row r="360" spans="1:19" x14ac:dyDescent="0.3">
      <c r="A360" t="s">
        <v>908</v>
      </c>
      <c r="B360" t="s">
        <v>7</v>
      </c>
      <c r="C360">
        <v>21</v>
      </c>
      <c r="D360">
        <v>16</v>
      </c>
      <c r="E360">
        <v>1431</v>
      </c>
      <c r="F360" t="str">
        <f>IF(Estadisticas_jugador[[#This Row],[minutes_played]]&gt;900, "Si", "No")</f>
        <v>Si</v>
      </c>
      <c r="G360">
        <v>0</v>
      </c>
      <c r="H360">
        <v>3</v>
      </c>
      <c r="I360">
        <v>0.51700000000000002</v>
      </c>
      <c r="J360">
        <v>1.3425958499999999</v>
      </c>
      <c r="K360">
        <v>6.45</v>
      </c>
      <c r="L360">
        <v>6</v>
      </c>
      <c r="M360">
        <v>1</v>
      </c>
      <c r="N360">
        <v>6</v>
      </c>
      <c r="O360">
        <v>1</v>
      </c>
      <c r="P360">
        <v>21</v>
      </c>
      <c r="Q360">
        <v>6</v>
      </c>
      <c r="R360">
        <f>Estadisticas_jugador[[#This Row],[tackles]]+Estadisticas_jugador[[#This Row],[interceptions]]</f>
        <v>27</v>
      </c>
      <c r="S360">
        <v>0</v>
      </c>
    </row>
    <row r="361" spans="1:19" x14ac:dyDescent="0.3">
      <c r="A361" t="s">
        <v>909</v>
      </c>
      <c r="B361" t="s">
        <v>7</v>
      </c>
      <c r="C361">
        <v>7</v>
      </c>
      <c r="D361">
        <v>5</v>
      </c>
      <c r="E361">
        <v>493</v>
      </c>
      <c r="F361" t="str">
        <f>IF(Estadisticas_jugador[[#This Row],[minutes_played]]&gt;900, "Si", "No")</f>
        <v>No</v>
      </c>
      <c r="G361">
        <v>1</v>
      </c>
      <c r="H361">
        <v>1</v>
      </c>
      <c r="I361">
        <v>0.60780000000000001</v>
      </c>
      <c r="J361">
        <v>0.75664821999999998</v>
      </c>
      <c r="K361">
        <v>6.8714285714286003</v>
      </c>
      <c r="L361">
        <v>6</v>
      </c>
      <c r="M361">
        <v>3</v>
      </c>
      <c r="N361">
        <v>0</v>
      </c>
      <c r="O361">
        <v>0</v>
      </c>
      <c r="P361">
        <v>7</v>
      </c>
      <c r="Q361">
        <v>5</v>
      </c>
      <c r="R361">
        <f>Estadisticas_jugador[[#This Row],[tackles]]+Estadisticas_jugador[[#This Row],[interceptions]]</f>
        <v>12</v>
      </c>
      <c r="S361">
        <v>0</v>
      </c>
    </row>
    <row r="362" spans="1:19" x14ac:dyDescent="0.3">
      <c r="A362" t="s">
        <v>910</v>
      </c>
      <c r="B362" t="s">
        <v>7</v>
      </c>
      <c r="C362">
        <v>29</v>
      </c>
      <c r="D362">
        <v>29</v>
      </c>
      <c r="E362">
        <v>2610</v>
      </c>
      <c r="F362" t="str">
        <f>IF(Estadisticas_jugador[[#This Row],[minutes_played]]&gt;900, "Si", "No")</f>
        <v>Si</v>
      </c>
      <c r="G362">
        <v>0</v>
      </c>
      <c r="H362">
        <v>0</v>
      </c>
      <c r="J362">
        <v>0.11385839</v>
      </c>
      <c r="K362">
        <v>7.0310344827586002</v>
      </c>
      <c r="L362">
        <v>0</v>
      </c>
      <c r="M362">
        <v>0</v>
      </c>
      <c r="N362">
        <v>2</v>
      </c>
      <c r="O362">
        <v>0</v>
      </c>
      <c r="P362">
        <v>2</v>
      </c>
      <c r="Q362">
        <v>0</v>
      </c>
      <c r="R362">
        <f>Estadisticas_jugador[[#This Row],[tackles]]+Estadisticas_jugador[[#This Row],[interceptions]]</f>
        <v>2</v>
      </c>
      <c r="S362">
        <v>77</v>
      </c>
    </row>
    <row r="363" spans="1:19" x14ac:dyDescent="0.3">
      <c r="A363" t="s">
        <v>911</v>
      </c>
      <c r="B363" t="s">
        <v>7</v>
      </c>
      <c r="C363">
        <v>21</v>
      </c>
      <c r="D363">
        <v>10</v>
      </c>
      <c r="E363">
        <v>1065</v>
      </c>
      <c r="F363" t="str">
        <f>IF(Estadisticas_jugador[[#This Row],[minutes_played]]&gt;900, "Si", "No")</f>
        <v>Si</v>
      </c>
      <c r="G363">
        <v>3</v>
      </c>
      <c r="H363">
        <v>1</v>
      </c>
      <c r="I363">
        <v>2.5255999999999998</v>
      </c>
      <c r="J363">
        <v>1.4734038700000001</v>
      </c>
      <c r="K363">
        <v>6.6095238095238003</v>
      </c>
      <c r="L363">
        <v>20</v>
      </c>
      <c r="M363">
        <v>7</v>
      </c>
      <c r="N363">
        <v>1</v>
      </c>
      <c r="O363">
        <v>0</v>
      </c>
      <c r="P363">
        <v>16</v>
      </c>
      <c r="Q363">
        <v>4</v>
      </c>
      <c r="R363">
        <f>Estadisticas_jugador[[#This Row],[tackles]]+Estadisticas_jugador[[#This Row],[interceptions]]</f>
        <v>20</v>
      </c>
      <c r="S363">
        <v>0</v>
      </c>
    </row>
    <row r="364" spans="1:19" x14ac:dyDescent="0.3">
      <c r="A364" t="s">
        <v>912</v>
      </c>
      <c r="B364" t="s">
        <v>7</v>
      </c>
      <c r="C364">
        <v>24</v>
      </c>
      <c r="D364">
        <v>16</v>
      </c>
      <c r="E364">
        <v>1570</v>
      </c>
      <c r="F364" t="str">
        <f>IF(Estadisticas_jugador[[#This Row],[minutes_played]]&gt;900, "Si", "No")</f>
        <v>Si</v>
      </c>
      <c r="G364">
        <v>7</v>
      </c>
      <c r="H364">
        <v>3</v>
      </c>
      <c r="I364">
        <v>8.5830000000000002</v>
      </c>
      <c r="J364">
        <v>0.42713408000000003</v>
      </c>
      <c r="K364">
        <v>6.6583333333333004</v>
      </c>
      <c r="L364">
        <v>51</v>
      </c>
      <c r="M364">
        <v>26</v>
      </c>
      <c r="N364">
        <v>1</v>
      </c>
      <c r="O364">
        <v>0</v>
      </c>
      <c r="P364">
        <v>5</v>
      </c>
      <c r="Q364">
        <v>0</v>
      </c>
      <c r="R364">
        <f>Estadisticas_jugador[[#This Row],[tackles]]+Estadisticas_jugador[[#This Row],[interceptions]]</f>
        <v>5</v>
      </c>
      <c r="S364">
        <v>0</v>
      </c>
    </row>
    <row r="365" spans="1:19" x14ac:dyDescent="0.3">
      <c r="A365" t="s">
        <v>913</v>
      </c>
      <c r="B365" t="s">
        <v>7</v>
      </c>
      <c r="C365">
        <v>21</v>
      </c>
      <c r="D365">
        <v>4</v>
      </c>
      <c r="E365">
        <v>703</v>
      </c>
      <c r="F365" t="str">
        <f>IF(Estadisticas_jugador[[#This Row],[minutes_played]]&gt;900, "Si", "No")</f>
        <v>No</v>
      </c>
      <c r="G365">
        <v>1</v>
      </c>
      <c r="H365">
        <v>1</v>
      </c>
      <c r="I365">
        <v>1.2959000000000001</v>
      </c>
      <c r="J365">
        <v>0.63486904</v>
      </c>
      <c r="K365">
        <v>6.8095238095238004</v>
      </c>
      <c r="L365">
        <v>17</v>
      </c>
      <c r="M365">
        <v>2</v>
      </c>
      <c r="N365">
        <v>0</v>
      </c>
      <c r="O365">
        <v>0</v>
      </c>
      <c r="P365">
        <v>13</v>
      </c>
      <c r="Q365">
        <v>4</v>
      </c>
      <c r="R365">
        <f>Estadisticas_jugador[[#This Row],[tackles]]+Estadisticas_jugador[[#This Row],[interceptions]]</f>
        <v>17</v>
      </c>
      <c r="S365">
        <v>0</v>
      </c>
    </row>
    <row r="366" spans="1:19" x14ac:dyDescent="0.3">
      <c r="A366" t="s">
        <v>914</v>
      </c>
      <c r="B366" t="s">
        <v>7</v>
      </c>
      <c r="C366">
        <v>6</v>
      </c>
      <c r="D366">
        <v>5</v>
      </c>
      <c r="E366">
        <v>454</v>
      </c>
      <c r="F366" t="str">
        <f>IF(Estadisticas_jugador[[#This Row],[minutes_played]]&gt;900, "Si", "No")</f>
        <v>No</v>
      </c>
      <c r="G366">
        <v>1</v>
      </c>
      <c r="H366">
        <v>0</v>
      </c>
      <c r="I366">
        <v>0.39219999999999999</v>
      </c>
      <c r="J366">
        <v>8.4689089999999995E-2</v>
      </c>
      <c r="K366">
        <v>6.6833333333332998</v>
      </c>
      <c r="L366">
        <v>4</v>
      </c>
      <c r="M366">
        <v>1</v>
      </c>
      <c r="N366">
        <v>1</v>
      </c>
      <c r="O366">
        <v>0</v>
      </c>
      <c r="P366">
        <v>2</v>
      </c>
      <c r="Q366">
        <v>1</v>
      </c>
      <c r="R366">
        <f>Estadisticas_jugador[[#This Row],[tackles]]+Estadisticas_jugador[[#This Row],[interceptions]]</f>
        <v>3</v>
      </c>
      <c r="S366">
        <v>0</v>
      </c>
    </row>
    <row r="367" spans="1:19" x14ac:dyDescent="0.3">
      <c r="A367" t="s">
        <v>915</v>
      </c>
      <c r="B367" t="s">
        <v>7</v>
      </c>
      <c r="C367">
        <v>21</v>
      </c>
      <c r="D367">
        <v>12</v>
      </c>
      <c r="E367">
        <v>1085</v>
      </c>
      <c r="F367" t="str">
        <f>IF(Estadisticas_jugador[[#This Row],[minutes_played]]&gt;900, "Si", "No")</f>
        <v>Si</v>
      </c>
      <c r="G367">
        <v>4</v>
      </c>
      <c r="H367">
        <v>0</v>
      </c>
      <c r="I367">
        <v>4.4866999999999999</v>
      </c>
      <c r="J367">
        <v>0.40941506999999999</v>
      </c>
      <c r="K367">
        <v>6.4904761904762003</v>
      </c>
      <c r="L367">
        <v>31</v>
      </c>
      <c r="M367">
        <v>13</v>
      </c>
      <c r="N367">
        <v>4</v>
      </c>
      <c r="O367">
        <v>1</v>
      </c>
      <c r="P367">
        <v>11</v>
      </c>
      <c r="Q367">
        <v>3</v>
      </c>
      <c r="R367">
        <f>Estadisticas_jugador[[#This Row],[tackles]]+Estadisticas_jugador[[#This Row],[interceptions]]</f>
        <v>14</v>
      </c>
      <c r="S367">
        <v>0</v>
      </c>
    </row>
    <row r="368" spans="1:19" x14ac:dyDescent="0.3">
      <c r="A368" t="s">
        <v>916</v>
      </c>
      <c r="B368" t="s">
        <v>7</v>
      </c>
      <c r="C368">
        <v>21</v>
      </c>
      <c r="D368">
        <v>19</v>
      </c>
      <c r="E368">
        <v>1564</v>
      </c>
      <c r="F368" t="str">
        <f>IF(Estadisticas_jugador[[#This Row],[minutes_played]]&gt;900, "Si", "No")</f>
        <v>Si</v>
      </c>
      <c r="G368">
        <v>0</v>
      </c>
      <c r="H368">
        <v>1</v>
      </c>
      <c r="I368">
        <v>0.41849999999999998</v>
      </c>
      <c r="J368">
        <v>2.8579007600000002</v>
      </c>
      <c r="K368">
        <v>6.7238095238094999</v>
      </c>
      <c r="L368">
        <v>4</v>
      </c>
      <c r="M368">
        <v>2</v>
      </c>
      <c r="N368">
        <v>6</v>
      </c>
      <c r="O368">
        <v>0</v>
      </c>
      <c r="P368">
        <v>66</v>
      </c>
      <c r="Q368">
        <v>19</v>
      </c>
      <c r="R368">
        <f>Estadisticas_jugador[[#This Row],[tackles]]+Estadisticas_jugador[[#This Row],[interceptions]]</f>
        <v>85</v>
      </c>
      <c r="S368">
        <v>0</v>
      </c>
    </row>
    <row r="369" spans="1:19" x14ac:dyDescent="0.3">
      <c r="A369" t="s">
        <v>917</v>
      </c>
      <c r="B369" t="s">
        <v>7</v>
      </c>
      <c r="C369">
        <v>15</v>
      </c>
      <c r="D369">
        <v>12</v>
      </c>
      <c r="E369">
        <v>994</v>
      </c>
      <c r="F369" t="str">
        <f>IF(Estadisticas_jugador[[#This Row],[minutes_played]]&gt;900, "Si", "No")</f>
        <v>Si</v>
      </c>
      <c r="G369">
        <v>3</v>
      </c>
      <c r="H369">
        <v>4</v>
      </c>
      <c r="I369">
        <v>2.202</v>
      </c>
      <c r="J369">
        <v>1.29448195</v>
      </c>
      <c r="K369">
        <v>6.7333333333332996</v>
      </c>
      <c r="L369">
        <v>24</v>
      </c>
      <c r="M369">
        <v>6</v>
      </c>
      <c r="N369">
        <v>1</v>
      </c>
      <c r="O369">
        <v>0</v>
      </c>
      <c r="P369">
        <v>10</v>
      </c>
      <c r="Q369">
        <v>6</v>
      </c>
      <c r="R369">
        <f>Estadisticas_jugador[[#This Row],[tackles]]+Estadisticas_jugador[[#This Row],[interceptions]]</f>
        <v>16</v>
      </c>
      <c r="S369">
        <v>0</v>
      </c>
    </row>
    <row r="370" spans="1:19" x14ac:dyDescent="0.3">
      <c r="A370" t="s">
        <v>918</v>
      </c>
      <c r="B370" t="s">
        <v>7</v>
      </c>
      <c r="C370">
        <v>25</v>
      </c>
      <c r="D370">
        <v>22</v>
      </c>
      <c r="E370">
        <v>1735</v>
      </c>
      <c r="F370" t="str">
        <f>IF(Estadisticas_jugador[[#This Row],[minutes_played]]&gt;900, "Si", "No")</f>
        <v>Si</v>
      </c>
      <c r="G370">
        <v>5</v>
      </c>
      <c r="H370">
        <v>1</v>
      </c>
      <c r="I370">
        <v>1.7044999999999999</v>
      </c>
      <c r="J370">
        <v>1.21364658</v>
      </c>
      <c r="K370">
        <v>6.8079999999999998</v>
      </c>
      <c r="L370">
        <v>17</v>
      </c>
      <c r="M370">
        <v>8</v>
      </c>
      <c r="N370">
        <v>3</v>
      </c>
      <c r="O370">
        <v>0</v>
      </c>
      <c r="P370">
        <v>32</v>
      </c>
      <c r="Q370">
        <v>18</v>
      </c>
      <c r="R370">
        <f>Estadisticas_jugador[[#This Row],[tackles]]+Estadisticas_jugador[[#This Row],[interceptions]]</f>
        <v>50</v>
      </c>
      <c r="S370">
        <v>0</v>
      </c>
    </row>
    <row r="371" spans="1:19" x14ac:dyDescent="0.3">
      <c r="A371" t="s">
        <v>919</v>
      </c>
      <c r="B371" t="s">
        <v>7</v>
      </c>
      <c r="C371">
        <v>26</v>
      </c>
      <c r="D371">
        <v>24</v>
      </c>
      <c r="E371">
        <v>2063</v>
      </c>
      <c r="F371" t="str">
        <f>IF(Estadisticas_jugador[[#This Row],[minutes_played]]&gt;900, "Si", "No")</f>
        <v>Si</v>
      </c>
      <c r="G371">
        <v>1</v>
      </c>
      <c r="H371">
        <v>2</v>
      </c>
      <c r="I371">
        <v>0.76339999999999997</v>
      </c>
      <c r="J371">
        <v>1.3709149599999999</v>
      </c>
      <c r="K371">
        <v>6.7846153846153996</v>
      </c>
      <c r="L371">
        <v>12</v>
      </c>
      <c r="M371">
        <v>2</v>
      </c>
      <c r="N371">
        <v>10</v>
      </c>
      <c r="O371">
        <v>0</v>
      </c>
      <c r="P371">
        <v>44</v>
      </c>
      <c r="Q371">
        <v>34</v>
      </c>
      <c r="R371">
        <f>Estadisticas_jugador[[#This Row],[tackles]]+Estadisticas_jugador[[#This Row],[interceptions]]</f>
        <v>78</v>
      </c>
      <c r="S371">
        <v>0</v>
      </c>
    </row>
    <row r="372" spans="1:19" x14ac:dyDescent="0.3">
      <c r="A372" t="s">
        <v>920</v>
      </c>
      <c r="B372" t="s">
        <v>7</v>
      </c>
      <c r="C372">
        <v>25</v>
      </c>
      <c r="D372">
        <v>20</v>
      </c>
      <c r="E372">
        <v>1860</v>
      </c>
      <c r="F372" t="str">
        <f>IF(Estadisticas_jugador[[#This Row],[minutes_played]]&gt;900, "Si", "No")</f>
        <v>Si</v>
      </c>
      <c r="G372">
        <v>1</v>
      </c>
      <c r="H372">
        <v>0</v>
      </c>
      <c r="I372">
        <v>0.69240000000000002</v>
      </c>
      <c r="J372">
        <v>0.32621924000000002</v>
      </c>
      <c r="K372">
        <v>6.6879999999999997</v>
      </c>
      <c r="L372">
        <v>18</v>
      </c>
      <c r="M372">
        <v>5</v>
      </c>
      <c r="N372">
        <v>7</v>
      </c>
      <c r="O372">
        <v>0</v>
      </c>
      <c r="P372">
        <v>30</v>
      </c>
      <c r="Q372">
        <v>19</v>
      </c>
      <c r="R372">
        <f>Estadisticas_jugador[[#This Row],[tackles]]+Estadisticas_jugador[[#This Row],[interceptions]]</f>
        <v>49</v>
      </c>
      <c r="S372">
        <v>0</v>
      </c>
    </row>
    <row r="373" spans="1:19" x14ac:dyDescent="0.3">
      <c r="A373" t="s">
        <v>921</v>
      </c>
      <c r="B373" t="s">
        <v>7</v>
      </c>
      <c r="C373">
        <v>12</v>
      </c>
      <c r="D373">
        <v>2</v>
      </c>
      <c r="E373">
        <v>320</v>
      </c>
      <c r="F373" t="str">
        <f>IF(Estadisticas_jugador[[#This Row],[minutes_played]]&gt;900, "Si", "No")</f>
        <v>No</v>
      </c>
      <c r="G373">
        <v>0</v>
      </c>
      <c r="H373">
        <v>0</v>
      </c>
      <c r="I373">
        <v>0.25319999999999998</v>
      </c>
      <c r="J373">
        <v>0.89250675999999995</v>
      </c>
      <c r="K373">
        <v>6.7</v>
      </c>
      <c r="L373">
        <v>7</v>
      </c>
      <c r="M373">
        <v>0</v>
      </c>
      <c r="N373">
        <v>1</v>
      </c>
      <c r="O373">
        <v>0</v>
      </c>
      <c r="P373">
        <v>6</v>
      </c>
      <c r="Q373">
        <v>1</v>
      </c>
      <c r="R373">
        <f>Estadisticas_jugador[[#This Row],[tackles]]+Estadisticas_jugador[[#This Row],[interceptions]]</f>
        <v>7</v>
      </c>
      <c r="S373">
        <v>0</v>
      </c>
    </row>
    <row r="374" spans="1:19" x14ac:dyDescent="0.3">
      <c r="A374" t="s">
        <v>922</v>
      </c>
      <c r="B374" t="s">
        <v>7</v>
      </c>
      <c r="C374">
        <v>23</v>
      </c>
      <c r="D374">
        <v>18</v>
      </c>
      <c r="E374">
        <v>1524</v>
      </c>
      <c r="F374" t="str">
        <f>IF(Estadisticas_jugador[[#This Row],[minutes_played]]&gt;900, "Si", "No")</f>
        <v>Si</v>
      </c>
      <c r="G374">
        <v>1</v>
      </c>
      <c r="H374">
        <v>0</v>
      </c>
      <c r="I374">
        <v>1.1400999999999999</v>
      </c>
      <c r="J374">
        <v>0.47792973</v>
      </c>
      <c r="K374">
        <v>6.7136363636364003</v>
      </c>
      <c r="L374">
        <v>17</v>
      </c>
      <c r="M374">
        <v>5</v>
      </c>
      <c r="N374">
        <v>6</v>
      </c>
      <c r="O374">
        <v>0</v>
      </c>
      <c r="P374">
        <v>33</v>
      </c>
      <c r="Q374">
        <v>15</v>
      </c>
      <c r="R374">
        <f>Estadisticas_jugador[[#This Row],[tackles]]+Estadisticas_jugador[[#This Row],[interceptions]]</f>
        <v>48</v>
      </c>
      <c r="S374">
        <v>0</v>
      </c>
    </row>
    <row r="375" spans="1:19" x14ac:dyDescent="0.3">
      <c r="A375" t="s">
        <v>923</v>
      </c>
      <c r="B375" t="s">
        <v>7</v>
      </c>
      <c r="C375">
        <v>24</v>
      </c>
      <c r="D375">
        <v>20</v>
      </c>
      <c r="E375">
        <v>1660</v>
      </c>
      <c r="F375" t="str">
        <f>IF(Estadisticas_jugador[[#This Row],[minutes_played]]&gt;900, "Si", "No")</f>
        <v>Si</v>
      </c>
      <c r="G375">
        <v>0</v>
      </c>
      <c r="H375">
        <v>3</v>
      </c>
      <c r="I375">
        <v>0.70299999999999996</v>
      </c>
      <c r="J375">
        <v>2.3134995699999998</v>
      </c>
      <c r="K375">
        <v>6.5416666666666998</v>
      </c>
      <c r="L375">
        <v>12</v>
      </c>
      <c r="M375">
        <v>1</v>
      </c>
      <c r="N375">
        <v>2</v>
      </c>
      <c r="O375">
        <v>1</v>
      </c>
      <c r="P375">
        <v>49</v>
      </c>
      <c r="Q375">
        <v>9</v>
      </c>
      <c r="R375">
        <f>Estadisticas_jugador[[#This Row],[tackles]]+Estadisticas_jugador[[#This Row],[interceptions]]</f>
        <v>58</v>
      </c>
      <c r="S375">
        <v>0</v>
      </c>
    </row>
    <row r="376" spans="1:19" x14ac:dyDescent="0.3">
      <c r="A376" t="s">
        <v>924</v>
      </c>
      <c r="B376" t="s">
        <v>7</v>
      </c>
      <c r="C376">
        <v>21</v>
      </c>
      <c r="D376">
        <v>11</v>
      </c>
      <c r="E376">
        <v>894</v>
      </c>
      <c r="F376" t="str">
        <f>IF(Estadisticas_jugador[[#This Row],[minutes_played]]&gt;900, "Si", "No")</f>
        <v>No</v>
      </c>
      <c r="G376">
        <v>2</v>
      </c>
      <c r="H376">
        <v>1</v>
      </c>
      <c r="I376">
        <v>0.96740000000000004</v>
      </c>
      <c r="J376">
        <v>0.71755742</v>
      </c>
      <c r="K376">
        <v>6.8</v>
      </c>
      <c r="L376">
        <v>14</v>
      </c>
      <c r="M376">
        <v>6</v>
      </c>
      <c r="N376">
        <v>7</v>
      </c>
      <c r="O376">
        <v>0</v>
      </c>
      <c r="P376">
        <v>10</v>
      </c>
      <c r="Q376">
        <v>1</v>
      </c>
      <c r="R376">
        <f>Estadisticas_jugador[[#This Row],[tackles]]+Estadisticas_jugador[[#This Row],[interceptions]]</f>
        <v>11</v>
      </c>
      <c r="S376">
        <v>0</v>
      </c>
    </row>
    <row r="377" spans="1:19" x14ac:dyDescent="0.3">
      <c r="A377" t="s">
        <v>925</v>
      </c>
      <c r="B377" t="s">
        <v>7</v>
      </c>
      <c r="C377">
        <v>3</v>
      </c>
      <c r="D377">
        <v>0</v>
      </c>
      <c r="E377">
        <v>22</v>
      </c>
      <c r="F377" t="str">
        <f>IF(Estadisticas_jugador[[#This Row],[minutes_played]]&gt;900, "Si", "No")</f>
        <v>No</v>
      </c>
      <c r="G377">
        <v>0</v>
      </c>
      <c r="H377">
        <v>0</v>
      </c>
      <c r="J377">
        <v>5.2051900000000002E-3</v>
      </c>
      <c r="K377">
        <v>6.35</v>
      </c>
      <c r="L377">
        <v>0</v>
      </c>
      <c r="M377">
        <v>0</v>
      </c>
      <c r="N377">
        <v>1</v>
      </c>
      <c r="O377">
        <v>1</v>
      </c>
      <c r="P377">
        <v>0</v>
      </c>
      <c r="Q377">
        <v>0</v>
      </c>
      <c r="R377">
        <f>Estadisticas_jugador[[#This Row],[tackles]]+Estadisticas_jugador[[#This Row],[interceptions]]</f>
        <v>0</v>
      </c>
      <c r="S377">
        <v>0</v>
      </c>
    </row>
    <row r="378" spans="1:19" x14ac:dyDescent="0.3">
      <c r="A378" t="s">
        <v>926</v>
      </c>
      <c r="B378" t="s">
        <v>7</v>
      </c>
      <c r="C378">
        <v>12</v>
      </c>
      <c r="D378">
        <v>7</v>
      </c>
      <c r="E378">
        <v>797</v>
      </c>
      <c r="F378" t="str">
        <f>IF(Estadisticas_jugador[[#This Row],[minutes_played]]&gt;900, "Si", "No")</f>
        <v>No</v>
      </c>
      <c r="G378">
        <v>1</v>
      </c>
      <c r="H378">
        <v>3</v>
      </c>
      <c r="I378">
        <v>0.94169999999999998</v>
      </c>
      <c r="J378">
        <v>0.98724371</v>
      </c>
      <c r="K378">
        <v>6.8083333333332998</v>
      </c>
      <c r="L378">
        <v>10</v>
      </c>
      <c r="M378">
        <v>4</v>
      </c>
      <c r="N378">
        <v>1</v>
      </c>
      <c r="O378">
        <v>0</v>
      </c>
      <c r="P378">
        <v>15</v>
      </c>
      <c r="Q378">
        <v>3</v>
      </c>
      <c r="R378">
        <f>Estadisticas_jugador[[#This Row],[tackles]]+Estadisticas_jugador[[#This Row],[interceptions]]</f>
        <v>18</v>
      </c>
      <c r="S378">
        <v>0</v>
      </c>
    </row>
    <row r="379" spans="1:19" x14ac:dyDescent="0.3">
      <c r="A379" t="s">
        <v>927</v>
      </c>
      <c r="B379" t="s">
        <v>7</v>
      </c>
      <c r="C379">
        <v>5</v>
      </c>
      <c r="D379">
        <v>0</v>
      </c>
      <c r="E379">
        <v>100</v>
      </c>
      <c r="F379" t="str">
        <f>IF(Estadisticas_jugador[[#This Row],[minutes_played]]&gt;900, "Si", "No")</f>
        <v>No</v>
      </c>
      <c r="G379">
        <v>0</v>
      </c>
      <c r="H379">
        <v>0</v>
      </c>
      <c r="I379">
        <v>3.2099999999999997E-2</v>
      </c>
      <c r="J379">
        <v>0.18791161000000001</v>
      </c>
      <c r="K379">
        <v>6.66</v>
      </c>
      <c r="L379">
        <v>1</v>
      </c>
      <c r="M379">
        <v>0</v>
      </c>
      <c r="N379">
        <v>0</v>
      </c>
      <c r="O379">
        <v>0</v>
      </c>
      <c r="P379">
        <v>2</v>
      </c>
      <c r="Q379">
        <v>0</v>
      </c>
      <c r="R379">
        <f>Estadisticas_jugador[[#This Row],[tackles]]+Estadisticas_jugador[[#This Row],[interceptions]]</f>
        <v>2</v>
      </c>
      <c r="S379">
        <v>0</v>
      </c>
    </row>
    <row r="380" spans="1:19" x14ac:dyDescent="0.3">
      <c r="A380" t="s">
        <v>928</v>
      </c>
      <c r="B380" t="s">
        <v>7</v>
      </c>
      <c r="C380">
        <v>15</v>
      </c>
      <c r="D380">
        <v>15</v>
      </c>
      <c r="E380">
        <v>1038</v>
      </c>
      <c r="F380" t="str">
        <f>IF(Estadisticas_jugador[[#This Row],[minutes_played]]&gt;900, "Si", "No")</f>
        <v>Si</v>
      </c>
      <c r="G380">
        <v>0</v>
      </c>
      <c r="H380">
        <v>1</v>
      </c>
      <c r="I380">
        <v>9.5999999999999992E-3</v>
      </c>
      <c r="J380">
        <v>0.54362023999999998</v>
      </c>
      <c r="K380">
        <v>6.9</v>
      </c>
      <c r="L380">
        <v>1</v>
      </c>
      <c r="M380">
        <v>0</v>
      </c>
      <c r="N380">
        <v>4</v>
      </c>
      <c r="O380">
        <v>0</v>
      </c>
      <c r="P380">
        <v>25</v>
      </c>
      <c r="Q380">
        <v>22</v>
      </c>
      <c r="R380">
        <f>Estadisticas_jugador[[#This Row],[tackles]]+Estadisticas_jugador[[#This Row],[interceptions]]</f>
        <v>47</v>
      </c>
      <c r="S380">
        <v>0</v>
      </c>
    </row>
    <row r="381" spans="1:19" x14ac:dyDescent="0.3">
      <c r="A381" t="s">
        <v>929</v>
      </c>
      <c r="B381" t="s">
        <v>7</v>
      </c>
      <c r="C381">
        <v>11</v>
      </c>
      <c r="D381">
        <v>7</v>
      </c>
      <c r="E381">
        <v>610</v>
      </c>
      <c r="F381" t="str">
        <f>IF(Estadisticas_jugador[[#This Row],[minutes_played]]&gt;900, "Si", "No")</f>
        <v>No</v>
      </c>
      <c r="G381">
        <v>0</v>
      </c>
      <c r="H381">
        <v>0</v>
      </c>
      <c r="I381">
        <v>0.249</v>
      </c>
      <c r="J381">
        <v>3.4843409999999998E-2</v>
      </c>
      <c r="K381">
        <v>6.5909090909090997</v>
      </c>
      <c r="L381">
        <v>6</v>
      </c>
      <c r="M381">
        <v>0</v>
      </c>
      <c r="N381">
        <v>5</v>
      </c>
      <c r="O381">
        <v>0</v>
      </c>
      <c r="P381">
        <v>14</v>
      </c>
      <c r="Q381">
        <v>4</v>
      </c>
      <c r="R381">
        <f>Estadisticas_jugador[[#This Row],[tackles]]+Estadisticas_jugador[[#This Row],[interceptions]]</f>
        <v>18</v>
      </c>
      <c r="S381">
        <v>0</v>
      </c>
    </row>
    <row r="382" spans="1:19" x14ac:dyDescent="0.3">
      <c r="A382" t="s">
        <v>930</v>
      </c>
      <c r="B382" t="s">
        <v>7</v>
      </c>
      <c r="C382">
        <v>13</v>
      </c>
      <c r="D382">
        <v>11</v>
      </c>
      <c r="E382">
        <v>943</v>
      </c>
      <c r="F382" t="str">
        <f>IF(Estadisticas_jugador[[#This Row],[minutes_played]]&gt;900, "Si", "No")</f>
        <v>Si</v>
      </c>
      <c r="G382">
        <v>0</v>
      </c>
      <c r="H382">
        <v>0</v>
      </c>
      <c r="I382">
        <v>0.70730000000000004</v>
      </c>
      <c r="J382">
        <v>7.0201949999999999E-2</v>
      </c>
      <c r="K382">
        <v>6.6461538461538003</v>
      </c>
      <c r="L382">
        <v>10</v>
      </c>
      <c r="M382">
        <v>2</v>
      </c>
      <c r="N382">
        <v>2</v>
      </c>
      <c r="O382">
        <v>1</v>
      </c>
      <c r="P382">
        <v>13</v>
      </c>
      <c r="Q382">
        <v>5</v>
      </c>
      <c r="R382">
        <f>Estadisticas_jugador[[#This Row],[tackles]]+Estadisticas_jugador[[#This Row],[interceptions]]</f>
        <v>18</v>
      </c>
      <c r="S382">
        <v>0</v>
      </c>
    </row>
    <row r="383" spans="1:19" x14ac:dyDescent="0.3">
      <c r="A383" t="s">
        <v>931</v>
      </c>
      <c r="B383" t="s">
        <v>7</v>
      </c>
      <c r="C383">
        <v>27</v>
      </c>
      <c r="D383">
        <v>22</v>
      </c>
      <c r="E383">
        <v>2000</v>
      </c>
      <c r="F383" t="str">
        <f>IF(Estadisticas_jugador[[#This Row],[minutes_played]]&gt;900, "Si", "No")</f>
        <v>Si</v>
      </c>
      <c r="G383">
        <v>1</v>
      </c>
      <c r="H383">
        <v>3</v>
      </c>
      <c r="I383">
        <v>0.61509999999999998</v>
      </c>
      <c r="J383">
        <v>1.17146258</v>
      </c>
      <c r="K383">
        <v>6.6666666666666998</v>
      </c>
      <c r="L383">
        <v>17</v>
      </c>
      <c r="M383">
        <v>3</v>
      </c>
      <c r="N383">
        <v>9</v>
      </c>
      <c r="O383">
        <v>0</v>
      </c>
      <c r="P383">
        <v>52</v>
      </c>
      <c r="Q383">
        <v>31</v>
      </c>
      <c r="R383">
        <f>Estadisticas_jugador[[#This Row],[tackles]]+Estadisticas_jugador[[#This Row],[interceptions]]</f>
        <v>83</v>
      </c>
      <c r="S383">
        <v>0</v>
      </c>
    </row>
    <row r="384" spans="1:19" x14ac:dyDescent="0.3">
      <c r="A384" t="s">
        <v>932</v>
      </c>
      <c r="B384" t="s">
        <v>7</v>
      </c>
      <c r="C384">
        <v>17</v>
      </c>
      <c r="D384">
        <v>15</v>
      </c>
      <c r="E384">
        <v>1398</v>
      </c>
      <c r="F384" t="str">
        <f>IF(Estadisticas_jugador[[#This Row],[minutes_played]]&gt;900, "Si", "No")</f>
        <v>Si</v>
      </c>
      <c r="G384">
        <v>1</v>
      </c>
      <c r="H384">
        <v>0</v>
      </c>
      <c r="I384">
        <v>0.87390000000000001</v>
      </c>
      <c r="J384">
        <v>0.30936145999999998</v>
      </c>
      <c r="K384">
        <v>7.0411764705881996</v>
      </c>
      <c r="L384">
        <v>11</v>
      </c>
      <c r="M384">
        <v>6</v>
      </c>
      <c r="N384">
        <v>0</v>
      </c>
      <c r="O384">
        <v>0</v>
      </c>
      <c r="P384">
        <v>36</v>
      </c>
      <c r="Q384">
        <v>29</v>
      </c>
      <c r="R384">
        <f>Estadisticas_jugador[[#This Row],[tackles]]+Estadisticas_jugador[[#This Row],[interceptions]]</f>
        <v>65</v>
      </c>
      <c r="S384">
        <v>0</v>
      </c>
    </row>
    <row r="385" spans="1:19" x14ac:dyDescent="0.3">
      <c r="A385" t="s">
        <v>933</v>
      </c>
      <c r="B385" t="s">
        <v>7</v>
      </c>
      <c r="C385">
        <v>1</v>
      </c>
      <c r="D385">
        <v>0</v>
      </c>
      <c r="E385">
        <v>9</v>
      </c>
      <c r="F385" t="str">
        <f>IF(Estadisticas_jugador[[#This Row],[minutes_played]]&gt;900, "Si", "No")</f>
        <v>No</v>
      </c>
      <c r="G385">
        <v>0</v>
      </c>
      <c r="H385">
        <v>0</v>
      </c>
      <c r="J385">
        <v>6.6560000000000002E-4</v>
      </c>
      <c r="K385">
        <v>6.7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f>Estadisticas_jugador[[#This Row],[tackles]]+Estadisticas_jugador[[#This Row],[interceptions]]</f>
        <v>0</v>
      </c>
      <c r="S385">
        <v>0</v>
      </c>
    </row>
    <row r="386" spans="1:19" x14ac:dyDescent="0.3">
      <c r="A386" t="s">
        <v>934</v>
      </c>
      <c r="B386" t="s">
        <v>7</v>
      </c>
      <c r="C386">
        <v>4</v>
      </c>
      <c r="D386">
        <v>4</v>
      </c>
      <c r="E386">
        <v>298</v>
      </c>
      <c r="F386" t="str">
        <f>IF(Estadisticas_jugador[[#This Row],[minutes_played]]&gt;900, "Si", "No")</f>
        <v>No</v>
      </c>
      <c r="G386">
        <v>0</v>
      </c>
      <c r="H386">
        <v>0</v>
      </c>
      <c r="J386">
        <v>7.7234699999999996E-3</v>
      </c>
      <c r="K386">
        <v>6.625</v>
      </c>
      <c r="L386">
        <v>0</v>
      </c>
      <c r="M386">
        <v>0</v>
      </c>
      <c r="N386">
        <v>0</v>
      </c>
      <c r="O386">
        <v>0</v>
      </c>
      <c r="P386">
        <v>5</v>
      </c>
      <c r="Q386">
        <v>3</v>
      </c>
      <c r="R386">
        <f>Estadisticas_jugador[[#This Row],[tackles]]+Estadisticas_jugador[[#This Row],[interceptions]]</f>
        <v>8</v>
      </c>
      <c r="S386">
        <v>0</v>
      </c>
    </row>
    <row r="387" spans="1:19" x14ac:dyDescent="0.3">
      <c r="A387" t="s">
        <v>935</v>
      </c>
      <c r="B387" t="s">
        <v>7</v>
      </c>
      <c r="C387">
        <v>11</v>
      </c>
      <c r="D387">
        <v>7</v>
      </c>
      <c r="E387">
        <v>686</v>
      </c>
      <c r="F387" t="str">
        <f>IF(Estadisticas_jugador[[#This Row],[minutes_played]]&gt;900, "Si", "No")</f>
        <v>No</v>
      </c>
      <c r="G387">
        <v>0</v>
      </c>
      <c r="H387">
        <v>0</v>
      </c>
      <c r="I387">
        <v>0.2147</v>
      </c>
      <c r="J387">
        <v>9.6175010000000005E-2</v>
      </c>
      <c r="K387">
        <v>6.9454545454545</v>
      </c>
      <c r="L387">
        <v>4</v>
      </c>
      <c r="M387">
        <v>1</v>
      </c>
      <c r="N387">
        <v>3</v>
      </c>
      <c r="O387">
        <v>0</v>
      </c>
      <c r="P387">
        <v>17</v>
      </c>
      <c r="Q387">
        <v>11</v>
      </c>
      <c r="R387">
        <f>Estadisticas_jugador[[#This Row],[tackles]]+Estadisticas_jugador[[#This Row],[interceptions]]</f>
        <v>28</v>
      </c>
      <c r="S387">
        <v>0</v>
      </c>
    </row>
    <row r="388" spans="1:19" x14ac:dyDescent="0.3">
      <c r="A388" t="s">
        <v>936</v>
      </c>
      <c r="B388" t="s">
        <v>7</v>
      </c>
      <c r="C388">
        <v>25</v>
      </c>
      <c r="D388">
        <v>25</v>
      </c>
      <c r="E388">
        <v>2250</v>
      </c>
      <c r="F388" t="str">
        <f>IF(Estadisticas_jugador[[#This Row],[minutes_played]]&gt;900, "Si", "No")</f>
        <v>Si</v>
      </c>
      <c r="G388">
        <v>0</v>
      </c>
      <c r="H388">
        <v>0</v>
      </c>
      <c r="J388">
        <v>2.724242E-2</v>
      </c>
      <c r="K388">
        <v>6.9960000000000004</v>
      </c>
      <c r="L388">
        <v>0</v>
      </c>
      <c r="M388">
        <v>0</v>
      </c>
      <c r="N388">
        <v>2</v>
      </c>
      <c r="O388">
        <v>0</v>
      </c>
      <c r="P388">
        <v>0</v>
      </c>
      <c r="Q388">
        <v>1</v>
      </c>
      <c r="R388">
        <f>Estadisticas_jugador[[#This Row],[tackles]]+Estadisticas_jugador[[#This Row],[interceptions]]</f>
        <v>1</v>
      </c>
      <c r="S388">
        <v>73</v>
      </c>
    </row>
    <row r="389" spans="1:19" x14ac:dyDescent="0.3">
      <c r="A389" t="s">
        <v>937</v>
      </c>
      <c r="B389" t="s">
        <v>7</v>
      </c>
      <c r="C389">
        <v>4</v>
      </c>
      <c r="D389">
        <v>4</v>
      </c>
      <c r="E389">
        <v>360</v>
      </c>
      <c r="F389" t="str">
        <f>IF(Estadisticas_jugador[[#This Row],[minutes_played]]&gt;900, "Si", "No")</f>
        <v>No</v>
      </c>
      <c r="G389">
        <v>0</v>
      </c>
      <c r="H389">
        <v>0</v>
      </c>
      <c r="J389">
        <v>4.7528199999999996E-3</v>
      </c>
      <c r="K389">
        <v>6.65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f>Estadisticas_jugador[[#This Row],[tackles]]+Estadisticas_jugador[[#This Row],[interceptions]]</f>
        <v>0</v>
      </c>
      <c r="S389">
        <v>9</v>
      </c>
    </row>
    <row r="390" spans="1:19" x14ac:dyDescent="0.3">
      <c r="A390" t="s">
        <v>938</v>
      </c>
      <c r="B390" t="s">
        <v>7</v>
      </c>
      <c r="C390">
        <v>25</v>
      </c>
      <c r="D390">
        <v>18</v>
      </c>
      <c r="E390">
        <v>1617</v>
      </c>
      <c r="F390" t="str">
        <f>IF(Estadisticas_jugador[[#This Row],[minutes_played]]&gt;900, "Si", "No")</f>
        <v>Si</v>
      </c>
      <c r="G390">
        <v>5</v>
      </c>
      <c r="H390">
        <v>4</v>
      </c>
      <c r="I390">
        <v>6.8810000000000002</v>
      </c>
      <c r="J390">
        <v>2.1867714899999999</v>
      </c>
      <c r="K390">
        <v>6.9279999999999999</v>
      </c>
      <c r="L390">
        <v>57</v>
      </c>
      <c r="M390">
        <v>18</v>
      </c>
      <c r="N390">
        <v>0</v>
      </c>
      <c r="O390">
        <v>0</v>
      </c>
      <c r="P390">
        <v>14</v>
      </c>
      <c r="Q390">
        <v>2</v>
      </c>
      <c r="R390">
        <f>Estadisticas_jugador[[#This Row],[tackles]]+Estadisticas_jugador[[#This Row],[interceptions]]</f>
        <v>16</v>
      </c>
      <c r="S390">
        <v>0</v>
      </c>
    </row>
    <row r="391" spans="1:19" x14ac:dyDescent="0.3">
      <c r="A391" t="s">
        <v>939</v>
      </c>
      <c r="B391" t="s">
        <v>7</v>
      </c>
      <c r="C391">
        <v>22</v>
      </c>
      <c r="D391">
        <v>15</v>
      </c>
      <c r="E391">
        <v>1297</v>
      </c>
      <c r="F391" t="str">
        <f>IF(Estadisticas_jugador[[#This Row],[minutes_played]]&gt;900, "Si", "No")</f>
        <v>Si</v>
      </c>
      <c r="G391">
        <v>7</v>
      </c>
      <c r="H391">
        <v>0</v>
      </c>
      <c r="I391">
        <v>7.3285999999999998</v>
      </c>
      <c r="J391">
        <v>0.99053018000000004</v>
      </c>
      <c r="K391">
        <v>6.8238095238094996</v>
      </c>
      <c r="L391">
        <v>39</v>
      </c>
      <c r="M391">
        <v>19</v>
      </c>
      <c r="N391">
        <v>2</v>
      </c>
      <c r="O391">
        <v>0</v>
      </c>
      <c r="P391">
        <v>7</v>
      </c>
      <c r="Q391">
        <v>2</v>
      </c>
      <c r="R391">
        <f>Estadisticas_jugador[[#This Row],[tackles]]+Estadisticas_jugador[[#This Row],[interceptions]]</f>
        <v>9</v>
      </c>
      <c r="S391">
        <v>0</v>
      </c>
    </row>
    <row r="392" spans="1:19" x14ac:dyDescent="0.3">
      <c r="A392" t="s">
        <v>940</v>
      </c>
      <c r="B392" t="s">
        <v>7</v>
      </c>
      <c r="C392">
        <v>24</v>
      </c>
      <c r="D392">
        <v>18</v>
      </c>
      <c r="E392">
        <v>1613</v>
      </c>
      <c r="F392" t="str">
        <f>IF(Estadisticas_jugador[[#This Row],[minutes_played]]&gt;900, "Si", "No")</f>
        <v>Si</v>
      </c>
      <c r="G392">
        <v>8</v>
      </c>
      <c r="H392">
        <v>0</v>
      </c>
      <c r="I392">
        <v>7.3746999999999998</v>
      </c>
      <c r="J392">
        <v>1.1045588799999999</v>
      </c>
      <c r="K392">
        <v>6.7041666666667004</v>
      </c>
      <c r="L392">
        <v>61</v>
      </c>
      <c r="M392">
        <v>31</v>
      </c>
      <c r="N392">
        <v>3</v>
      </c>
      <c r="O392">
        <v>0</v>
      </c>
      <c r="P392">
        <v>12</v>
      </c>
      <c r="Q392">
        <v>5</v>
      </c>
      <c r="R392">
        <f>Estadisticas_jugador[[#This Row],[tackles]]+Estadisticas_jugador[[#This Row],[interceptions]]</f>
        <v>17</v>
      </c>
      <c r="S392">
        <v>0</v>
      </c>
    </row>
    <row r="393" spans="1:19" x14ac:dyDescent="0.3">
      <c r="A393" t="s">
        <v>941</v>
      </c>
      <c r="B393" t="s">
        <v>7</v>
      </c>
      <c r="C393">
        <v>7</v>
      </c>
      <c r="D393">
        <v>0</v>
      </c>
      <c r="E393">
        <v>106</v>
      </c>
      <c r="F393" t="str">
        <f>IF(Estadisticas_jugador[[#This Row],[minutes_played]]&gt;900, "Si", "No")</f>
        <v>No</v>
      </c>
      <c r="G393">
        <v>1</v>
      </c>
      <c r="H393">
        <v>0</v>
      </c>
      <c r="I393">
        <v>0.30249999999999999</v>
      </c>
      <c r="J393">
        <v>0.44767474000000002</v>
      </c>
      <c r="K393">
        <v>6.86</v>
      </c>
      <c r="L393">
        <v>5</v>
      </c>
      <c r="M393">
        <v>2</v>
      </c>
      <c r="N393">
        <v>0</v>
      </c>
      <c r="O393">
        <v>0</v>
      </c>
      <c r="P393">
        <v>4</v>
      </c>
      <c r="Q393">
        <v>1</v>
      </c>
      <c r="R393">
        <f>Estadisticas_jugador[[#This Row],[tackles]]+Estadisticas_jugador[[#This Row],[interceptions]]</f>
        <v>5</v>
      </c>
      <c r="S393">
        <v>0</v>
      </c>
    </row>
    <row r="394" spans="1:19" x14ac:dyDescent="0.3">
      <c r="A394" t="s">
        <v>942</v>
      </c>
      <c r="B394" t="s">
        <v>7</v>
      </c>
      <c r="C394">
        <v>4</v>
      </c>
      <c r="D394">
        <v>4</v>
      </c>
      <c r="E394">
        <v>316</v>
      </c>
      <c r="F394" t="str">
        <f>IF(Estadisticas_jugador[[#This Row],[minutes_played]]&gt;900, "Si", "No")</f>
        <v>No</v>
      </c>
      <c r="G394">
        <v>1</v>
      </c>
      <c r="H394">
        <v>0</v>
      </c>
      <c r="I394">
        <v>0.4375</v>
      </c>
      <c r="J394">
        <v>0.34116593000000001</v>
      </c>
      <c r="K394">
        <v>6.75</v>
      </c>
      <c r="L394">
        <v>4</v>
      </c>
      <c r="M394">
        <v>1</v>
      </c>
      <c r="N394">
        <v>1</v>
      </c>
      <c r="O394">
        <v>0</v>
      </c>
      <c r="P394">
        <v>6</v>
      </c>
      <c r="Q394">
        <v>3</v>
      </c>
      <c r="R394">
        <f>Estadisticas_jugador[[#This Row],[tackles]]+Estadisticas_jugador[[#This Row],[interceptions]]</f>
        <v>9</v>
      </c>
      <c r="S394">
        <v>0</v>
      </c>
    </row>
    <row r="395" spans="1:19" x14ac:dyDescent="0.3">
      <c r="A395" t="s">
        <v>943</v>
      </c>
      <c r="B395" t="s">
        <v>7</v>
      </c>
      <c r="C395">
        <v>6</v>
      </c>
      <c r="D395">
        <v>4</v>
      </c>
      <c r="E395">
        <v>339</v>
      </c>
      <c r="F395" t="str">
        <f>IF(Estadisticas_jugador[[#This Row],[minutes_played]]&gt;900, "Si", "No")</f>
        <v>No</v>
      </c>
      <c r="G395">
        <v>0</v>
      </c>
      <c r="H395">
        <v>0</v>
      </c>
      <c r="I395">
        <v>0.54490000000000005</v>
      </c>
      <c r="J395">
        <v>0.32544420000000002</v>
      </c>
      <c r="K395">
        <v>6.65</v>
      </c>
      <c r="L395">
        <v>9</v>
      </c>
      <c r="M395">
        <v>3</v>
      </c>
      <c r="N395">
        <v>1</v>
      </c>
      <c r="O395">
        <v>0</v>
      </c>
      <c r="P395">
        <v>6</v>
      </c>
      <c r="Q395">
        <v>1</v>
      </c>
      <c r="R395">
        <f>Estadisticas_jugador[[#This Row],[tackles]]+Estadisticas_jugador[[#This Row],[interceptions]]</f>
        <v>7</v>
      </c>
      <c r="S395">
        <v>0</v>
      </c>
    </row>
    <row r="396" spans="1:19" x14ac:dyDescent="0.3">
      <c r="A396" t="s">
        <v>944</v>
      </c>
      <c r="B396" t="s">
        <v>7</v>
      </c>
      <c r="C396">
        <v>10</v>
      </c>
      <c r="D396">
        <v>1</v>
      </c>
      <c r="E396">
        <v>204</v>
      </c>
      <c r="F396" t="str">
        <f>IF(Estadisticas_jugador[[#This Row],[minutes_played]]&gt;900, "Si", "No")</f>
        <v>No</v>
      </c>
      <c r="G396">
        <v>0</v>
      </c>
      <c r="H396">
        <v>0</v>
      </c>
      <c r="I396">
        <v>6.8000000000000005E-2</v>
      </c>
      <c r="J396">
        <v>4.5968519999999999E-2</v>
      </c>
      <c r="K396">
        <v>6.6</v>
      </c>
      <c r="L396">
        <v>1</v>
      </c>
      <c r="M396">
        <v>0</v>
      </c>
      <c r="N396">
        <v>0</v>
      </c>
      <c r="O396">
        <v>1</v>
      </c>
      <c r="P396">
        <v>6</v>
      </c>
      <c r="Q396">
        <v>4</v>
      </c>
      <c r="R396">
        <f>Estadisticas_jugador[[#This Row],[tackles]]+Estadisticas_jugador[[#This Row],[interceptions]]</f>
        <v>10</v>
      </c>
      <c r="S396">
        <v>0</v>
      </c>
    </row>
    <row r="397" spans="1:19" x14ac:dyDescent="0.3">
      <c r="A397" t="s">
        <v>945</v>
      </c>
      <c r="B397" t="s">
        <v>7</v>
      </c>
      <c r="C397">
        <v>17</v>
      </c>
      <c r="D397">
        <v>11</v>
      </c>
      <c r="E397">
        <v>765</v>
      </c>
      <c r="F397" t="str">
        <f>IF(Estadisticas_jugador[[#This Row],[minutes_played]]&gt;900, "Si", "No")</f>
        <v>No</v>
      </c>
      <c r="G397">
        <v>1</v>
      </c>
      <c r="H397">
        <v>0</v>
      </c>
      <c r="I397">
        <v>1.0098</v>
      </c>
      <c r="J397">
        <v>0.55754134</v>
      </c>
      <c r="K397">
        <v>6.5529411764705996</v>
      </c>
      <c r="L397">
        <v>14</v>
      </c>
      <c r="M397">
        <v>2</v>
      </c>
      <c r="N397">
        <v>2</v>
      </c>
      <c r="O397">
        <v>0</v>
      </c>
      <c r="P397">
        <v>12</v>
      </c>
      <c r="Q397">
        <v>4</v>
      </c>
      <c r="R397">
        <f>Estadisticas_jugador[[#This Row],[tackles]]+Estadisticas_jugador[[#This Row],[interceptions]]</f>
        <v>16</v>
      </c>
      <c r="S397">
        <v>0</v>
      </c>
    </row>
    <row r="398" spans="1:19" x14ac:dyDescent="0.3">
      <c r="A398" t="s">
        <v>946</v>
      </c>
      <c r="B398" t="s">
        <v>7</v>
      </c>
      <c r="C398">
        <v>28</v>
      </c>
      <c r="D398">
        <v>28</v>
      </c>
      <c r="E398">
        <v>2488</v>
      </c>
      <c r="F398" t="str">
        <f>IF(Estadisticas_jugador[[#This Row],[minutes_played]]&gt;900, "Si", "No")</f>
        <v>Si</v>
      </c>
      <c r="G398">
        <v>2</v>
      </c>
      <c r="H398">
        <v>1</v>
      </c>
      <c r="I398">
        <v>1.9108000000000001</v>
      </c>
      <c r="J398">
        <v>2.4881789099999998</v>
      </c>
      <c r="K398">
        <v>7.1964285714285996</v>
      </c>
      <c r="L398">
        <v>20</v>
      </c>
      <c r="M398">
        <v>8</v>
      </c>
      <c r="N398">
        <v>7</v>
      </c>
      <c r="O398">
        <v>0</v>
      </c>
      <c r="P398">
        <v>56</v>
      </c>
      <c r="Q398">
        <v>21</v>
      </c>
      <c r="R398">
        <f>Estadisticas_jugador[[#This Row],[tackles]]+Estadisticas_jugador[[#This Row],[interceptions]]</f>
        <v>77</v>
      </c>
      <c r="S398">
        <v>0</v>
      </c>
    </row>
    <row r="399" spans="1:19" x14ac:dyDescent="0.3">
      <c r="A399" t="s">
        <v>947</v>
      </c>
      <c r="B399" t="s">
        <v>7</v>
      </c>
      <c r="C399">
        <v>3</v>
      </c>
      <c r="D399">
        <v>0</v>
      </c>
      <c r="E399">
        <v>59</v>
      </c>
      <c r="F399" t="str">
        <f>IF(Estadisticas_jugador[[#This Row],[minutes_played]]&gt;900, "Si", "No")</f>
        <v>No</v>
      </c>
      <c r="G399">
        <v>0</v>
      </c>
      <c r="H399">
        <v>0</v>
      </c>
      <c r="J399">
        <v>3.5257820000000002E-2</v>
      </c>
      <c r="K399">
        <v>6.5333333333333004</v>
      </c>
      <c r="L399">
        <v>0</v>
      </c>
      <c r="M399">
        <v>0</v>
      </c>
      <c r="N399">
        <v>1</v>
      </c>
      <c r="O399">
        <v>0</v>
      </c>
      <c r="P399">
        <v>1</v>
      </c>
      <c r="Q399">
        <v>0</v>
      </c>
      <c r="R399">
        <f>Estadisticas_jugador[[#This Row],[tackles]]+Estadisticas_jugador[[#This Row],[interceptions]]</f>
        <v>1</v>
      </c>
      <c r="S399">
        <v>0</v>
      </c>
    </row>
    <row r="400" spans="1:19" x14ac:dyDescent="0.3">
      <c r="A400" t="s">
        <v>948</v>
      </c>
      <c r="B400" t="s">
        <v>7</v>
      </c>
      <c r="C400">
        <v>28</v>
      </c>
      <c r="D400">
        <v>26</v>
      </c>
      <c r="E400">
        <v>2228</v>
      </c>
      <c r="F400" t="str">
        <f>IF(Estadisticas_jugador[[#This Row],[minutes_played]]&gt;900, "Si", "No")</f>
        <v>Si</v>
      </c>
      <c r="G400">
        <v>4</v>
      </c>
      <c r="H400">
        <v>4</v>
      </c>
      <c r="I400">
        <v>2.4001000000000001</v>
      </c>
      <c r="J400">
        <v>4.0469585099999996</v>
      </c>
      <c r="K400">
        <v>6.9607142857142996</v>
      </c>
      <c r="L400">
        <v>23</v>
      </c>
      <c r="M400">
        <v>8</v>
      </c>
      <c r="N400">
        <v>3</v>
      </c>
      <c r="O400">
        <v>0</v>
      </c>
      <c r="P400">
        <v>44</v>
      </c>
      <c r="Q400">
        <v>14</v>
      </c>
      <c r="R400">
        <f>Estadisticas_jugador[[#This Row],[tackles]]+Estadisticas_jugador[[#This Row],[interceptions]]</f>
        <v>58</v>
      </c>
      <c r="S400">
        <v>0</v>
      </c>
    </row>
    <row r="401" spans="1:19" x14ac:dyDescent="0.3">
      <c r="A401" t="s">
        <v>949</v>
      </c>
      <c r="B401" t="s">
        <v>7</v>
      </c>
      <c r="C401">
        <v>22</v>
      </c>
      <c r="D401">
        <v>13</v>
      </c>
      <c r="E401">
        <v>1181</v>
      </c>
      <c r="F401" t="str">
        <f>IF(Estadisticas_jugador[[#This Row],[minutes_played]]&gt;900, "Si", "No")</f>
        <v>Si</v>
      </c>
      <c r="G401">
        <v>2</v>
      </c>
      <c r="H401">
        <v>5</v>
      </c>
      <c r="I401">
        <v>0.83709999999999996</v>
      </c>
      <c r="J401">
        <v>2.32923795</v>
      </c>
      <c r="K401">
        <v>6.8136363636363999</v>
      </c>
      <c r="L401">
        <v>12</v>
      </c>
      <c r="M401">
        <v>4</v>
      </c>
      <c r="N401">
        <v>2</v>
      </c>
      <c r="O401">
        <v>0</v>
      </c>
      <c r="P401">
        <v>15</v>
      </c>
      <c r="Q401">
        <v>2</v>
      </c>
      <c r="R401">
        <f>Estadisticas_jugador[[#This Row],[tackles]]+Estadisticas_jugador[[#This Row],[interceptions]]</f>
        <v>17</v>
      </c>
      <c r="S401">
        <v>0</v>
      </c>
    </row>
    <row r="402" spans="1:19" x14ac:dyDescent="0.3">
      <c r="A402" t="s">
        <v>950</v>
      </c>
      <c r="B402" t="s">
        <v>7</v>
      </c>
      <c r="C402">
        <v>28</v>
      </c>
      <c r="D402">
        <v>23</v>
      </c>
      <c r="E402">
        <v>1950</v>
      </c>
      <c r="F402" t="str">
        <f>IF(Estadisticas_jugador[[#This Row],[minutes_played]]&gt;900, "Si", "No")</f>
        <v>Si</v>
      </c>
      <c r="G402">
        <v>1</v>
      </c>
      <c r="H402">
        <v>1</v>
      </c>
      <c r="I402">
        <v>0.108</v>
      </c>
      <c r="J402">
        <v>0.46071835999999999</v>
      </c>
      <c r="K402">
        <v>6.8142857142856998</v>
      </c>
      <c r="L402">
        <v>2</v>
      </c>
      <c r="M402">
        <v>1</v>
      </c>
      <c r="N402">
        <v>2</v>
      </c>
      <c r="O402">
        <v>0</v>
      </c>
      <c r="P402">
        <v>40</v>
      </c>
      <c r="Q402">
        <v>37</v>
      </c>
      <c r="R402">
        <f>Estadisticas_jugador[[#This Row],[tackles]]+Estadisticas_jugador[[#This Row],[interceptions]]</f>
        <v>77</v>
      </c>
      <c r="S402">
        <v>0</v>
      </c>
    </row>
    <row r="403" spans="1:19" x14ac:dyDescent="0.3">
      <c r="A403" t="s">
        <v>951</v>
      </c>
      <c r="B403" t="s">
        <v>7</v>
      </c>
      <c r="C403">
        <v>8</v>
      </c>
      <c r="D403">
        <v>3</v>
      </c>
      <c r="E403">
        <v>277</v>
      </c>
      <c r="F403" t="str">
        <f>IF(Estadisticas_jugador[[#This Row],[minutes_played]]&gt;900, "Si", "No")</f>
        <v>No</v>
      </c>
      <c r="G403">
        <v>0</v>
      </c>
      <c r="H403">
        <v>0</v>
      </c>
      <c r="I403">
        <v>0.11700000000000001</v>
      </c>
      <c r="J403">
        <v>0.20696909999999999</v>
      </c>
      <c r="K403">
        <v>6.45</v>
      </c>
      <c r="L403">
        <v>2</v>
      </c>
      <c r="M403">
        <v>0</v>
      </c>
      <c r="N403">
        <v>1</v>
      </c>
      <c r="O403">
        <v>1</v>
      </c>
      <c r="P403">
        <v>2</v>
      </c>
      <c r="Q403">
        <v>1</v>
      </c>
      <c r="R403">
        <f>Estadisticas_jugador[[#This Row],[tackles]]+Estadisticas_jugador[[#This Row],[interceptions]]</f>
        <v>3</v>
      </c>
      <c r="S403">
        <v>0</v>
      </c>
    </row>
    <row r="404" spans="1:19" x14ac:dyDescent="0.3">
      <c r="A404" t="s">
        <v>952</v>
      </c>
      <c r="B404" t="s">
        <v>7</v>
      </c>
      <c r="C404">
        <v>15</v>
      </c>
      <c r="D404">
        <v>4</v>
      </c>
      <c r="E404">
        <v>495</v>
      </c>
      <c r="F404" t="str">
        <f>IF(Estadisticas_jugador[[#This Row],[minutes_played]]&gt;900, "Si", "No")</f>
        <v>No</v>
      </c>
      <c r="G404">
        <v>0</v>
      </c>
      <c r="H404">
        <v>2</v>
      </c>
      <c r="I404">
        <v>0.25900000000000001</v>
      </c>
      <c r="J404">
        <v>1.87528564</v>
      </c>
      <c r="K404">
        <v>6.7357142857143</v>
      </c>
      <c r="L404">
        <v>3</v>
      </c>
      <c r="M404">
        <v>1</v>
      </c>
      <c r="N404">
        <v>2</v>
      </c>
      <c r="O404">
        <v>0</v>
      </c>
      <c r="P404">
        <v>7</v>
      </c>
      <c r="Q404">
        <v>3</v>
      </c>
      <c r="R404">
        <f>Estadisticas_jugador[[#This Row],[tackles]]+Estadisticas_jugador[[#This Row],[interceptions]]</f>
        <v>10</v>
      </c>
      <c r="S404">
        <v>0</v>
      </c>
    </row>
    <row r="405" spans="1:19" x14ac:dyDescent="0.3">
      <c r="A405" t="s">
        <v>953</v>
      </c>
      <c r="B405" t="s">
        <v>7</v>
      </c>
      <c r="C405">
        <v>9</v>
      </c>
      <c r="D405">
        <v>5</v>
      </c>
      <c r="E405">
        <v>328</v>
      </c>
      <c r="F405" t="str">
        <f>IF(Estadisticas_jugador[[#This Row],[minutes_played]]&gt;900, "Si", "No")</f>
        <v>No</v>
      </c>
      <c r="G405">
        <v>1</v>
      </c>
      <c r="H405">
        <v>2</v>
      </c>
      <c r="I405">
        <v>0.54869999999999997</v>
      </c>
      <c r="J405">
        <v>0.17712844</v>
      </c>
      <c r="K405">
        <v>6.7222222222222001</v>
      </c>
      <c r="L405">
        <v>10</v>
      </c>
      <c r="M405">
        <v>4</v>
      </c>
      <c r="N405">
        <v>0</v>
      </c>
      <c r="O405">
        <v>0</v>
      </c>
      <c r="P405">
        <v>8</v>
      </c>
      <c r="Q405">
        <v>5</v>
      </c>
      <c r="R405">
        <f>Estadisticas_jugador[[#This Row],[tackles]]+Estadisticas_jugador[[#This Row],[interceptions]]</f>
        <v>13</v>
      </c>
      <c r="S405">
        <v>0</v>
      </c>
    </row>
    <row r="406" spans="1:19" x14ac:dyDescent="0.3">
      <c r="A406" t="s">
        <v>954</v>
      </c>
      <c r="B406" t="s">
        <v>7</v>
      </c>
      <c r="C406">
        <v>27</v>
      </c>
      <c r="D406">
        <v>24</v>
      </c>
      <c r="E406">
        <v>2175</v>
      </c>
      <c r="F406" t="str">
        <f>IF(Estadisticas_jugador[[#This Row],[minutes_played]]&gt;900, "Si", "No")</f>
        <v>Si</v>
      </c>
      <c r="G406">
        <v>0</v>
      </c>
      <c r="H406">
        <v>0</v>
      </c>
      <c r="I406">
        <v>0.48649999999999999</v>
      </c>
      <c r="J406">
        <v>0.57341788999999999</v>
      </c>
      <c r="K406">
        <v>6.8</v>
      </c>
      <c r="L406">
        <v>8</v>
      </c>
      <c r="M406">
        <v>2</v>
      </c>
      <c r="N406">
        <v>6</v>
      </c>
      <c r="O406">
        <v>1</v>
      </c>
      <c r="P406">
        <v>58</v>
      </c>
      <c r="Q406">
        <v>40</v>
      </c>
      <c r="R406">
        <f>Estadisticas_jugador[[#This Row],[tackles]]+Estadisticas_jugador[[#This Row],[interceptions]]</f>
        <v>98</v>
      </c>
      <c r="S406">
        <v>0</v>
      </c>
    </row>
    <row r="407" spans="1:19" x14ac:dyDescent="0.3">
      <c r="A407" t="s">
        <v>955</v>
      </c>
      <c r="B407" t="s">
        <v>7</v>
      </c>
      <c r="C407">
        <v>4</v>
      </c>
      <c r="D407">
        <v>2</v>
      </c>
      <c r="E407">
        <v>116</v>
      </c>
      <c r="F407" t="str">
        <f>IF(Estadisticas_jugador[[#This Row],[minutes_played]]&gt;900, "Si", "No")</f>
        <v>No</v>
      </c>
      <c r="G407">
        <v>0</v>
      </c>
      <c r="H407">
        <v>0</v>
      </c>
      <c r="I407">
        <v>9.64E-2</v>
      </c>
      <c r="J407">
        <v>1.82971E-2</v>
      </c>
      <c r="K407">
        <v>6.5</v>
      </c>
      <c r="L407">
        <v>1</v>
      </c>
      <c r="M407">
        <v>0</v>
      </c>
      <c r="N407">
        <v>0</v>
      </c>
      <c r="O407">
        <v>0</v>
      </c>
      <c r="P407">
        <v>8</v>
      </c>
      <c r="Q407">
        <v>3</v>
      </c>
      <c r="R407">
        <f>Estadisticas_jugador[[#This Row],[tackles]]+Estadisticas_jugador[[#This Row],[interceptions]]</f>
        <v>11</v>
      </c>
      <c r="S407">
        <v>0</v>
      </c>
    </row>
    <row r="408" spans="1:19" x14ac:dyDescent="0.3">
      <c r="A408" t="s">
        <v>956</v>
      </c>
      <c r="B408" t="s">
        <v>7</v>
      </c>
      <c r="C408">
        <v>20</v>
      </c>
      <c r="D408">
        <v>6</v>
      </c>
      <c r="E408">
        <v>830</v>
      </c>
      <c r="F408" t="str">
        <f>IF(Estadisticas_jugador[[#This Row],[minutes_played]]&gt;900, "Si", "No")</f>
        <v>No</v>
      </c>
      <c r="G408">
        <v>1</v>
      </c>
      <c r="H408">
        <v>1</v>
      </c>
      <c r="I408">
        <v>0.35360000000000003</v>
      </c>
      <c r="J408">
        <v>1.5576306</v>
      </c>
      <c r="K408">
        <v>6.5210526315789004</v>
      </c>
      <c r="L408">
        <v>9</v>
      </c>
      <c r="M408">
        <v>2</v>
      </c>
      <c r="N408">
        <v>4</v>
      </c>
      <c r="O408">
        <v>0</v>
      </c>
      <c r="P408">
        <v>30</v>
      </c>
      <c r="Q408">
        <v>10</v>
      </c>
      <c r="R408">
        <f>Estadisticas_jugador[[#This Row],[tackles]]+Estadisticas_jugador[[#This Row],[interceptions]]</f>
        <v>40</v>
      </c>
      <c r="S408">
        <v>0</v>
      </c>
    </row>
    <row r="409" spans="1:19" x14ac:dyDescent="0.3">
      <c r="A409" t="s">
        <v>957</v>
      </c>
      <c r="B409" t="s">
        <v>7</v>
      </c>
      <c r="C409">
        <v>23</v>
      </c>
      <c r="D409">
        <v>19</v>
      </c>
      <c r="E409">
        <v>1794</v>
      </c>
      <c r="F409" t="str">
        <f>IF(Estadisticas_jugador[[#This Row],[minutes_played]]&gt;900, "Si", "No")</f>
        <v>Si</v>
      </c>
      <c r="G409">
        <v>0</v>
      </c>
      <c r="H409">
        <v>0</v>
      </c>
      <c r="I409">
        <v>0.35420000000000001</v>
      </c>
      <c r="J409">
        <v>0.57179533999999999</v>
      </c>
      <c r="K409">
        <v>6.8521739130435</v>
      </c>
      <c r="L409">
        <v>6</v>
      </c>
      <c r="M409">
        <v>2</v>
      </c>
      <c r="N409">
        <v>6</v>
      </c>
      <c r="O409">
        <v>1</v>
      </c>
      <c r="P409">
        <v>54</v>
      </c>
      <c r="Q409">
        <v>19</v>
      </c>
      <c r="R409">
        <f>Estadisticas_jugador[[#This Row],[tackles]]+Estadisticas_jugador[[#This Row],[interceptions]]</f>
        <v>73</v>
      </c>
      <c r="S409">
        <v>0</v>
      </c>
    </row>
    <row r="410" spans="1:19" x14ac:dyDescent="0.3">
      <c r="A410" t="s">
        <v>958</v>
      </c>
      <c r="B410" t="s">
        <v>7</v>
      </c>
      <c r="C410">
        <v>21</v>
      </c>
      <c r="D410">
        <v>19</v>
      </c>
      <c r="E410">
        <v>1571</v>
      </c>
      <c r="F410" t="str">
        <f>IF(Estadisticas_jugador[[#This Row],[minutes_played]]&gt;900, "Si", "No")</f>
        <v>Si</v>
      </c>
      <c r="G410">
        <v>0</v>
      </c>
      <c r="H410">
        <v>2</v>
      </c>
      <c r="I410">
        <v>0.60519999999999996</v>
      </c>
      <c r="J410">
        <v>1.11316294</v>
      </c>
      <c r="K410">
        <v>6.8904761904761997</v>
      </c>
      <c r="L410">
        <v>8</v>
      </c>
      <c r="M410">
        <v>2</v>
      </c>
      <c r="N410">
        <v>3</v>
      </c>
      <c r="O410">
        <v>0</v>
      </c>
      <c r="P410">
        <v>30</v>
      </c>
      <c r="Q410">
        <v>24</v>
      </c>
      <c r="R410">
        <f>Estadisticas_jugador[[#This Row],[tackles]]+Estadisticas_jugador[[#This Row],[interceptions]]</f>
        <v>54</v>
      </c>
      <c r="S410">
        <v>0</v>
      </c>
    </row>
    <row r="411" spans="1:19" x14ac:dyDescent="0.3">
      <c r="A411" t="s">
        <v>959</v>
      </c>
      <c r="B411" t="s">
        <v>7</v>
      </c>
      <c r="C411">
        <v>26</v>
      </c>
      <c r="D411">
        <v>14</v>
      </c>
      <c r="E411">
        <v>1287</v>
      </c>
      <c r="F411" t="str">
        <f>IF(Estadisticas_jugador[[#This Row],[minutes_played]]&gt;900, "Si", "No")</f>
        <v>Si</v>
      </c>
      <c r="G411">
        <v>0</v>
      </c>
      <c r="H411">
        <v>0</v>
      </c>
      <c r="I411">
        <v>0.50549999999999995</v>
      </c>
      <c r="J411">
        <v>0.25585082999999997</v>
      </c>
      <c r="K411">
        <v>6.6319999999999997</v>
      </c>
      <c r="L411">
        <v>7</v>
      </c>
      <c r="M411">
        <v>0</v>
      </c>
      <c r="N411">
        <v>2</v>
      </c>
      <c r="O411">
        <v>0</v>
      </c>
      <c r="P411">
        <v>32</v>
      </c>
      <c r="Q411">
        <v>11</v>
      </c>
      <c r="R411">
        <f>Estadisticas_jugador[[#This Row],[tackles]]+Estadisticas_jugador[[#This Row],[interceptions]]</f>
        <v>43</v>
      </c>
      <c r="S411">
        <v>0</v>
      </c>
    </row>
    <row r="412" spans="1:19" x14ac:dyDescent="0.3">
      <c r="A412" t="s">
        <v>960</v>
      </c>
      <c r="B412" t="s">
        <v>7</v>
      </c>
      <c r="C412">
        <v>14</v>
      </c>
      <c r="D412">
        <v>5</v>
      </c>
      <c r="E412">
        <v>465</v>
      </c>
      <c r="F412" t="str">
        <f>IF(Estadisticas_jugador[[#This Row],[minutes_played]]&gt;900, "Si", "No")</f>
        <v>No</v>
      </c>
      <c r="G412">
        <v>1</v>
      </c>
      <c r="H412">
        <v>0</v>
      </c>
      <c r="I412">
        <v>0.38219999999999998</v>
      </c>
      <c r="J412">
        <v>6.9274440000000007E-2</v>
      </c>
      <c r="K412">
        <v>6.5692307692308001</v>
      </c>
      <c r="L412">
        <v>5</v>
      </c>
      <c r="M412">
        <v>2</v>
      </c>
      <c r="N412">
        <v>2</v>
      </c>
      <c r="O412">
        <v>0</v>
      </c>
      <c r="P412">
        <v>11</v>
      </c>
      <c r="Q412">
        <v>4</v>
      </c>
      <c r="R412">
        <f>Estadisticas_jugador[[#This Row],[tackles]]+Estadisticas_jugador[[#This Row],[interceptions]]</f>
        <v>15</v>
      </c>
      <c r="S412">
        <v>0</v>
      </c>
    </row>
    <row r="413" spans="1:19" x14ac:dyDescent="0.3">
      <c r="A413" t="s">
        <v>961</v>
      </c>
      <c r="B413" t="s">
        <v>7</v>
      </c>
      <c r="C413">
        <v>16</v>
      </c>
      <c r="D413">
        <v>16</v>
      </c>
      <c r="E413">
        <v>1440</v>
      </c>
      <c r="F413" t="str">
        <f>IF(Estadisticas_jugador[[#This Row],[minutes_played]]&gt;900, "Si", "No")</f>
        <v>Si</v>
      </c>
      <c r="G413">
        <v>0</v>
      </c>
      <c r="H413">
        <v>0</v>
      </c>
      <c r="J413">
        <v>0.19362111000000001</v>
      </c>
      <c r="K413">
        <v>7.1937499999999996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f>Estadisticas_jugador[[#This Row],[tackles]]+Estadisticas_jugador[[#This Row],[interceptions]]</f>
        <v>0</v>
      </c>
      <c r="S413">
        <v>55</v>
      </c>
    </row>
    <row r="414" spans="1:19" x14ac:dyDescent="0.3">
      <c r="A414" t="s">
        <v>962</v>
      </c>
      <c r="B414" t="s">
        <v>7</v>
      </c>
      <c r="C414">
        <v>13</v>
      </c>
      <c r="D414">
        <v>13</v>
      </c>
      <c r="E414">
        <v>1170</v>
      </c>
      <c r="F414" t="str">
        <f>IF(Estadisticas_jugador[[#This Row],[minutes_played]]&gt;900, "Si", "No")</f>
        <v>Si</v>
      </c>
      <c r="G414">
        <v>0</v>
      </c>
      <c r="H414">
        <v>0</v>
      </c>
      <c r="J414">
        <v>7.3652910000000002E-2</v>
      </c>
      <c r="K414">
        <v>7.4307692307691999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0</v>
      </c>
      <c r="R414">
        <f>Estadisticas_jugador[[#This Row],[tackles]]+Estadisticas_jugador[[#This Row],[interceptions]]</f>
        <v>0</v>
      </c>
      <c r="S414">
        <v>37</v>
      </c>
    </row>
    <row r="415" spans="1:19" x14ac:dyDescent="0.3">
      <c r="A415" t="s">
        <v>963</v>
      </c>
      <c r="B415" t="s">
        <v>7</v>
      </c>
      <c r="C415">
        <v>28</v>
      </c>
      <c r="D415">
        <v>27</v>
      </c>
      <c r="E415">
        <v>2324</v>
      </c>
      <c r="F415" t="str">
        <f>IF(Estadisticas_jugador[[#This Row],[minutes_played]]&gt;900, "Si", "No")</f>
        <v>Si</v>
      </c>
      <c r="G415">
        <v>18</v>
      </c>
      <c r="H415">
        <v>1</v>
      </c>
      <c r="I415">
        <v>14.42</v>
      </c>
      <c r="J415">
        <v>0.83202977</v>
      </c>
      <c r="K415">
        <v>7.0928571428570999</v>
      </c>
      <c r="L415">
        <v>87</v>
      </c>
      <c r="M415">
        <v>38</v>
      </c>
      <c r="N415">
        <v>3</v>
      </c>
      <c r="O415">
        <v>1</v>
      </c>
      <c r="P415">
        <v>6</v>
      </c>
      <c r="Q415">
        <v>2</v>
      </c>
      <c r="R415">
        <f>Estadisticas_jugador[[#This Row],[tackles]]+Estadisticas_jugador[[#This Row],[interceptions]]</f>
        <v>8</v>
      </c>
      <c r="S415">
        <v>0</v>
      </c>
    </row>
    <row r="416" spans="1:19" x14ac:dyDescent="0.3">
      <c r="A416" t="s">
        <v>964</v>
      </c>
      <c r="B416" t="s">
        <v>7</v>
      </c>
      <c r="C416">
        <v>4</v>
      </c>
      <c r="D416">
        <v>1</v>
      </c>
      <c r="E416">
        <v>148</v>
      </c>
      <c r="F416" t="str">
        <f>IF(Estadisticas_jugador[[#This Row],[minutes_played]]&gt;900, "Si", "No")</f>
        <v>No</v>
      </c>
      <c r="G416">
        <v>0</v>
      </c>
      <c r="H416">
        <v>1</v>
      </c>
      <c r="I416">
        <v>8.1000000000000003E-2</v>
      </c>
      <c r="J416">
        <v>6.9096740000000004E-2</v>
      </c>
      <c r="K416">
        <v>6.625</v>
      </c>
      <c r="L416">
        <v>3</v>
      </c>
      <c r="M416">
        <v>3</v>
      </c>
      <c r="N416">
        <v>1</v>
      </c>
      <c r="O416">
        <v>0</v>
      </c>
      <c r="P416">
        <v>0</v>
      </c>
      <c r="Q416">
        <v>0</v>
      </c>
      <c r="R416">
        <f>Estadisticas_jugador[[#This Row],[tackles]]+Estadisticas_jugador[[#This Row],[interceptions]]</f>
        <v>0</v>
      </c>
      <c r="S416">
        <v>0</v>
      </c>
    </row>
    <row r="417" spans="1:19" x14ac:dyDescent="0.3">
      <c r="A417" t="s">
        <v>965</v>
      </c>
      <c r="B417" t="s">
        <v>7</v>
      </c>
      <c r="C417">
        <v>28</v>
      </c>
      <c r="D417">
        <v>19</v>
      </c>
      <c r="E417">
        <v>1690</v>
      </c>
      <c r="F417" t="str">
        <f>IF(Estadisticas_jugador[[#This Row],[minutes_played]]&gt;900, "Si", "No")</f>
        <v>Si</v>
      </c>
      <c r="G417">
        <v>2</v>
      </c>
      <c r="H417">
        <v>2</v>
      </c>
      <c r="I417">
        <v>5.0949</v>
      </c>
      <c r="J417">
        <v>0.83881163000000003</v>
      </c>
      <c r="K417">
        <v>6.65</v>
      </c>
      <c r="L417">
        <v>33</v>
      </c>
      <c r="M417">
        <v>14</v>
      </c>
      <c r="N417">
        <v>2</v>
      </c>
      <c r="O417">
        <v>0</v>
      </c>
      <c r="P417">
        <v>28</v>
      </c>
      <c r="Q417">
        <v>12</v>
      </c>
      <c r="R417">
        <f>Estadisticas_jugador[[#This Row],[tackles]]+Estadisticas_jugador[[#This Row],[interceptions]]</f>
        <v>40</v>
      </c>
      <c r="S417">
        <v>0</v>
      </c>
    </row>
    <row r="418" spans="1:19" x14ac:dyDescent="0.3">
      <c r="A418" t="s">
        <v>966</v>
      </c>
      <c r="B418" t="s">
        <v>7</v>
      </c>
      <c r="C418">
        <v>10</v>
      </c>
      <c r="D418">
        <v>0</v>
      </c>
      <c r="E418">
        <v>98</v>
      </c>
      <c r="F418" t="str">
        <f>IF(Estadisticas_jugador[[#This Row],[minutes_played]]&gt;900, "Si", "No")</f>
        <v>No</v>
      </c>
      <c r="G418">
        <v>0</v>
      </c>
      <c r="H418">
        <v>0</v>
      </c>
      <c r="I418">
        <v>0.75539999999999996</v>
      </c>
      <c r="J418">
        <v>0.11396938</v>
      </c>
      <c r="K418">
        <v>6.5142857142857</v>
      </c>
      <c r="L418">
        <v>3</v>
      </c>
      <c r="M418">
        <v>1</v>
      </c>
      <c r="N418">
        <v>0</v>
      </c>
      <c r="O418">
        <v>0</v>
      </c>
      <c r="P418">
        <v>0</v>
      </c>
      <c r="Q418">
        <v>0</v>
      </c>
      <c r="R418">
        <f>Estadisticas_jugador[[#This Row],[tackles]]+Estadisticas_jugador[[#This Row],[interceptions]]</f>
        <v>0</v>
      </c>
      <c r="S418">
        <v>0</v>
      </c>
    </row>
    <row r="419" spans="1:19" x14ac:dyDescent="0.3">
      <c r="A419" t="s">
        <v>967</v>
      </c>
      <c r="B419" t="s">
        <v>7</v>
      </c>
      <c r="C419">
        <v>26</v>
      </c>
      <c r="D419">
        <v>11</v>
      </c>
      <c r="E419">
        <v>1007</v>
      </c>
      <c r="F419" t="str">
        <f>IF(Estadisticas_jugador[[#This Row],[minutes_played]]&gt;900, "Si", "No")</f>
        <v>Si</v>
      </c>
      <c r="G419">
        <v>3</v>
      </c>
      <c r="H419">
        <v>2</v>
      </c>
      <c r="I419">
        <v>0.86580000000000001</v>
      </c>
      <c r="J419">
        <v>1.95780011</v>
      </c>
      <c r="K419">
        <v>6.7346153846153998</v>
      </c>
      <c r="L419">
        <v>12</v>
      </c>
      <c r="M419">
        <v>7</v>
      </c>
      <c r="N419">
        <v>3</v>
      </c>
      <c r="O419">
        <v>0</v>
      </c>
      <c r="P419">
        <v>11</v>
      </c>
      <c r="Q419">
        <v>7</v>
      </c>
      <c r="R419">
        <f>Estadisticas_jugador[[#This Row],[tackles]]+Estadisticas_jugador[[#This Row],[interceptions]]</f>
        <v>18</v>
      </c>
      <c r="S419">
        <v>0</v>
      </c>
    </row>
    <row r="420" spans="1:19" x14ac:dyDescent="0.3">
      <c r="A420" t="s">
        <v>968</v>
      </c>
      <c r="B420" t="s">
        <v>7</v>
      </c>
      <c r="C420">
        <v>22</v>
      </c>
      <c r="D420">
        <v>17</v>
      </c>
      <c r="E420">
        <v>1462</v>
      </c>
      <c r="F420" t="str">
        <f>IF(Estadisticas_jugador[[#This Row],[minutes_played]]&gt;900, "Si", "No")</f>
        <v>Si</v>
      </c>
      <c r="G420">
        <v>0</v>
      </c>
      <c r="H420">
        <v>4</v>
      </c>
      <c r="I420">
        <v>1.7723</v>
      </c>
      <c r="J420">
        <v>1.98251819</v>
      </c>
      <c r="K420">
        <v>6.55</v>
      </c>
      <c r="L420">
        <v>26</v>
      </c>
      <c r="M420">
        <v>11</v>
      </c>
      <c r="N420">
        <v>0</v>
      </c>
      <c r="O420">
        <v>1</v>
      </c>
      <c r="P420">
        <v>12</v>
      </c>
      <c r="Q420">
        <v>5</v>
      </c>
      <c r="R420">
        <f>Estadisticas_jugador[[#This Row],[tackles]]+Estadisticas_jugador[[#This Row],[interceptions]]</f>
        <v>17</v>
      </c>
      <c r="S420">
        <v>0</v>
      </c>
    </row>
    <row r="421" spans="1:19" x14ac:dyDescent="0.3">
      <c r="A421" t="s">
        <v>969</v>
      </c>
      <c r="B421" t="s">
        <v>7</v>
      </c>
      <c r="C421">
        <v>15</v>
      </c>
      <c r="D421">
        <v>6</v>
      </c>
      <c r="E421">
        <v>501</v>
      </c>
      <c r="F421" t="str">
        <f>IF(Estadisticas_jugador[[#This Row],[minutes_played]]&gt;900, "Si", "No")</f>
        <v>No</v>
      </c>
      <c r="G421">
        <v>1</v>
      </c>
      <c r="H421">
        <v>0</v>
      </c>
      <c r="I421">
        <v>1.1087</v>
      </c>
      <c r="J421">
        <v>0.82372093999999996</v>
      </c>
      <c r="K421">
        <v>6.5266666666667001</v>
      </c>
      <c r="L421">
        <v>9</v>
      </c>
      <c r="M421">
        <v>2</v>
      </c>
      <c r="N421">
        <v>2</v>
      </c>
      <c r="O421">
        <v>0</v>
      </c>
      <c r="P421">
        <v>5</v>
      </c>
      <c r="Q421">
        <v>1</v>
      </c>
      <c r="R421">
        <f>Estadisticas_jugador[[#This Row],[tackles]]+Estadisticas_jugador[[#This Row],[interceptions]]</f>
        <v>6</v>
      </c>
      <c r="S421">
        <v>0</v>
      </c>
    </row>
    <row r="422" spans="1:19" x14ac:dyDescent="0.3">
      <c r="A422" t="s">
        <v>970</v>
      </c>
      <c r="B422" t="s">
        <v>7</v>
      </c>
      <c r="C422">
        <v>26</v>
      </c>
      <c r="D422">
        <v>23</v>
      </c>
      <c r="E422">
        <v>2051</v>
      </c>
      <c r="F422" t="str">
        <f>IF(Estadisticas_jugador[[#This Row],[minutes_played]]&gt;900, "Si", "No")</f>
        <v>Si</v>
      </c>
      <c r="G422">
        <v>5</v>
      </c>
      <c r="H422">
        <v>0</v>
      </c>
      <c r="I422">
        <v>2.3058999999999998</v>
      </c>
      <c r="J422">
        <v>0.83999889999999999</v>
      </c>
      <c r="K422">
        <v>6.9192307692307997</v>
      </c>
      <c r="L422">
        <v>25</v>
      </c>
      <c r="M422">
        <v>11</v>
      </c>
      <c r="N422">
        <v>9</v>
      </c>
      <c r="O422">
        <v>0</v>
      </c>
      <c r="P422">
        <v>47</v>
      </c>
      <c r="Q422">
        <v>20</v>
      </c>
      <c r="R422">
        <f>Estadisticas_jugador[[#This Row],[tackles]]+Estadisticas_jugador[[#This Row],[interceptions]]</f>
        <v>67</v>
      </c>
      <c r="S422">
        <v>0</v>
      </c>
    </row>
    <row r="423" spans="1:19" x14ac:dyDescent="0.3">
      <c r="A423" t="s">
        <v>971</v>
      </c>
      <c r="B423" t="s">
        <v>7</v>
      </c>
      <c r="C423">
        <v>29</v>
      </c>
      <c r="D423">
        <v>21</v>
      </c>
      <c r="E423">
        <v>1923</v>
      </c>
      <c r="F423" t="str">
        <f>IF(Estadisticas_jugador[[#This Row],[minutes_played]]&gt;900, "Si", "No")</f>
        <v>Si</v>
      </c>
      <c r="G423">
        <v>1</v>
      </c>
      <c r="H423">
        <v>4</v>
      </c>
      <c r="I423">
        <v>1.8943000000000001</v>
      </c>
      <c r="J423">
        <v>3.6129389199999999</v>
      </c>
      <c r="K423">
        <v>6.8413793103448004</v>
      </c>
      <c r="L423">
        <v>29</v>
      </c>
      <c r="M423">
        <v>9</v>
      </c>
      <c r="N423">
        <v>3</v>
      </c>
      <c r="O423">
        <v>0</v>
      </c>
      <c r="P423">
        <v>17</v>
      </c>
      <c r="Q423">
        <v>18</v>
      </c>
      <c r="R423">
        <f>Estadisticas_jugador[[#This Row],[tackles]]+Estadisticas_jugador[[#This Row],[interceptions]]</f>
        <v>35</v>
      </c>
      <c r="S423">
        <v>0</v>
      </c>
    </row>
    <row r="424" spans="1:19" x14ac:dyDescent="0.3">
      <c r="A424" t="s">
        <v>972</v>
      </c>
      <c r="B424" t="s">
        <v>7</v>
      </c>
      <c r="C424">
        <v>22</v>
      </c>
      <c r="D424">
        <v>18</v>
      </c>
      <c r="E424">
        <v>1576</v>
      </c>
      <c r="F424" t="str">
        <f>IF(Estadisticas_jugador[[#This Row],[minutes_played]]&gt;900, "Si", "No")</f>
        <v>Si</v>
      </c>
      <c r="G424">
        <v>1</v>
      </c>
      <c r="H424">
        <v>2</v>
      </c>
      <c r="I424">
        <v>0.13550000000000001</v>
      </c>
      <c r="J424">
        <v>0.26707072999999998</v>
      </c>
      <c r="K424">
        <v>6.7818181818182</v>
      </c>
      <c r="L424">
        <v>3</v>
      </c>
      <c r="M424">
        <v>2</v>
      </c>
      <c r="N424">
        <v>4</v>
      </c>
      <c r="O424">
        <v>0</v>
      </c>
      <c r="P424">
        <v>36</v>
      </c>
      <c r="Q424">
        <v>27</v>
      </c>
      <c r="R424">
        <f>Estadisticas_jugador[[#This Row],[tackles]]+Estadisticas_jugador[[#This Row],[interceptions]]</f>
        <v>63</v>
      </c>
      <c r="S424">
        <v>0</v>
      </c>
    </row>
    <row r="425" spans="1:19" x14ac:dyDescent="0.3">
      <c r="A425" t="s">
        <v>973</v>
      </c>
      <c r="B425" t="s">
        <v>7</v>
      </c>
      <c r="C425">
        <v>23</v>
      </c>
      <c r="D425">
        <v>14</v>
      </c>
      <c r="E425">
        <v>1145</v>
      </c>
      <c r="F425" t="str">
        <f>IF(Estadisticas_jugador[[#This Row],[minutes_played]]&gt;900, "Si", "No")</f>
        <v>Si</v>
      </c>
      <c r="G425">
        <v>1</v>
      </c>
      <c r="H425">
        <v>0</v>
      </c>
      <c r="I425">
        <v>0.65639999999999998</v>
      </c>
      <c r="J425">
        <v>0.89855293999999997</v>
      </c>
      <c r="K425">
        <v>6.7434782608696002</v>
      </c>
      <c r="L425">
        <v>6</v>
      </c>
      <c r="M425">
        <v>2</v>
      </c>
      <c r="N425">
        <v>2</v>
      </c>
      <c r="O425">
        <v>1</v>
      </c>
      <c r="P425">
        <v>40</v>
      </c>
      <c r="Q425">
        <v>11</v>
      </c>
      <c r="R425">
        <f>Estadisticas_jugador[[#This Row],[tackles]]+Estadisticas_jugador[[#This Row],[interceptions]]</f>
        <v>51</v>
      </c>
      <c r="S425">
        <v>0</v>
      </c>
    </row>
    <row r="426" spans="1:19" x14ac:dyDescent="0.3">
      <c r="A426" t="s">
        <v>974</v>
      </c>
      <c r="B426" t="s">
        <v>7</v>
      </c>
      <c r="C426">
        <v>2</v>
      </c>
      <c r="D426">
        <v>0</v>
      </c>
      <c r="E426">
        <v>46</v>
      </c>
      <c r="F426" t="str">
        <f>IF(Estadisticas_jugador[[#This Row],[minutes_played]]&gt;900, "Si", "No")</f>
        <v>No</v>
      </c>
      <c r="G426">
        <v>0</v>
      </c>
      <c r="H426">
        <v>0</v>
      </c>
      <c r="J426">
        <v>8.7035900000000006E-3</v>
      </c>
      <c r="K426">
        <v>6.45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f>Estadisticas_jugador[[#This Row],[tackles]]+Estadisticas_jugador[[#This Row],[interceptions]]</f>
        <v>0</v>
      </c>
      <c r="S426">
        <v>0</v>
      </c>
    </row>
    <row r="427" spans="1:19" x14ac:dyDescent="0.3">
      <c r="A427" t="s">
        <v>975</v>
      </c>
      <c r="B427" t="s">
        <v>7</v>
      </c>
      <c r="C427">
        <v>14</v>
      </c>
      <c r="D427">
        <v>1</v>
      </c>
      <c r="E427">
        <v>200</v>
      </c>
      <c r="F427" t="str">
        <f>IF(Estadisticas_jugador[[#This Row],[minutes_played]]&gt;900, "Si", "No")</f>
        <v>No</v>
      </c>
      <c r="G427">
        <v>0</v>
      </c>
      <c r="H427">
        <v>0</v>
      </c>
      <c r="I427">
        <v>0.3075</v>
      </c>
      <c r="J427">
        <v>0.13913212999999999</v>
      </c>
      <c r="K427">
        <v>6.4833333333332996</v>
      </c>
      <c r="L427">
        <v>4</v>
      </c>
      <c r="M427">
        <v>1</v>
      </c>
      <c r="N427">
        <v>0</v>
      </c>
      <c r="O427">
        <v>0</v>
      </c>
      <c r="P427">
        <v>4</v>
      </c>
      <c r="Q427">
        <v>0</v>
      </c>
      <c r="R427">
        <f>Estadisticas_jugador[[#This Row],[tackles]]+Estadisticas_jugador[[#This Row],[interceptions]]</f>
        <v>4</v>
      </c>
      <c r="S427">
        <v>0</v>
      </c>
    </row>
    <row r="428" spans="1:19" x14ac:dyDescent="0.3">
      <c r="A428" t="s">
        <v>976</v>
      </c>
      <c r="B428" t="s">
        <v>7</v>
      </c>
      <c r="C428">
        <v>2</v>
      </c>
      <c r="D428">
        <v>0</v>
      </c>
      <c r="E428">
        <v>16</v>
      </c>
      <c r="F428" t="str">
        <f>IF(Estadisticas_jugador[[#This Row],[minutes_played]]&gt;900, "Si", "No")</f>
        <v>No</v>
      </c>
      <c r="G428">
        <v>0</v>
      </c>
      <c r="H428">
        <v>0</v>
      </c>
      <c r="J428">
        <v>2.4713189999999999E-2</v>
      </c>
      <c r="K428">
        <v>6.75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f>Estadisticas_jugador[[#This Row],[tackles]]+Estadisticas_jugador[[#This Row],[interceptions]]</f>
        <v>0</v>
      </c>
      <c r="S428">
        <v>0</v>
      </c>
    </row>
    <row r="429" spans="1:19" x14ac:dyDescent="0.3">
      <c r="A429" t="s">
        <v>977</v>
      </c>
      <c r="B429" t="s">
        <v>7</v>
      </c>
      <c r="C429">
        <v>28</v>
      </c>
      <c r="D429">
        <v>23</v>
      </c>
      <c r="E429">
        <v>2144</v>
      </c>
      <c r="F429" t="str">
        <f>IF(Estadisticas_jugador[[#This Row],[minutes_played]]&gt;900, "Si", "No")</f>
        <v>Si</v>
      </c>
      <c r="G429">
        <v>0</v>
      </c>
      <c r="H429">
        <v>3</v>
      </c>
      <c r="I429">
        <v>0.4042</v>
      </c>
      <c r="J429">
        <v>2.4241045099999998</v>
      </c>
      <c r="K429">
        <v>6.6964285714285996</v>
      </c>
      <c r="L429">
        <v>13</v>
      </c>
      <c r="M429">
        <v>2</v>
      </c>
      <c r="N429">
        <v>5</v>
      </c>
      <c r="O429">
        <v>0</v>
      </c>
      <c r="P429">
        <v>44</v>
      </c>
      <c r="Q429">
        <v>16</v>
      </c>
      <c r="R429">
        <f>Estadisticas_jugador[[#This Row],[tackles]]+Estadisticas_jugador[[#This Row],[interceptions]]</f>
        <v>60</v>
      </c>
      <c r="S429">
        <v>0</v>
      </c>
    </row>
    <row r="430" spans="1:19" x14ac:dyDescent="0.3">
      <c r="A430" t="s">
        <v>978</v>
      </c>
      <c r="B430" t="s">
        <v>7</v>
      </c>
      <c r="C430">
        <v>23</v>
      </c>
      <c r="D430">
        <v>22</v>
      </c>
      <c r="E430">
        <v>1966</v>
      </c>
      <c r="F430" t="str">
        <f>IF(Estadisticas_jugador[[#This Row],[minutes_played]]&gt;900, "Si", "No")</f>
        <v>Si</v>
      </c>
      <c r="G430">
        <v>1</v>
      </c>
      <c r="H430">
        <v>0</v>
      </c>
      <c r="I430">
        <v>0.22439999999999999</v>
      </c>
      <c r="J430">
        <v>1.08527138</v>
      </c>
      <c r="K430">
        <v>6.9565217391304</v>
      </c>
      <c r="L430">
        <v>5</v>
      </c>
      <c r="M430">
        <v>1</v>
      </c>
      <c r="N430">
        <v>8</v>
      </c>
      <c r="O430">
        <v>0</v>
      </c>
      <c r="P430">
        <v>51</v>
      </c>
      <c r="Q430">
        <v>26</v>
      </c>
      <c r="R430">
        <f>Estadisticas_jugador[[#This Row],[tackles]]+Estadisticas_jugador[[#This Row],[interceptions]]</f>
        <v>77</v>
      </c>
      <c r="S430">
        <v>0</v>
      </c>
    </row>
    <row r="431" spans="1:19" x14ac:dyDescent="0.3">
      <c r="A431" t="s">
        <v>979</v>
      </c>
      <c r="B431" t="s">
        <v>7</v>
      </c>
      <c r="C431">
        <v>7</v>
      </c>
      <c r="D431">
        <v>5</v>
      </c>
      <c r="E431">
        <v>420</v>
      </c>
      <c r="F431" t="str">
        <f>IF(Estadisticas_jugador[[#This Row],[minutes_played]]&gt;900, "Si", "No")</f>
        <v>No</v>
      </c>
      <c r="G431">
        <v>0</v>
      </c>
      <c r="H431">
        <v>0</v>
      </c>
      <c r="I431">
        <v>9.8599999999999993E-2</v>
      </c>
      <c r="J431">
        <v>3.4769849999999998E-2</v>
      </c>
      <c r="K431">
        <v>6.6</v>
      </c>
      <c r="L431">
        <v>3</v>
      </c>
      <c r="M431">
        <v>0</v>
      </c>
      <c r="N431">
        <v>1</v>
      </c>
      <c r="O431">
        <v>0</v>
      </c>
      <c r="P431">
        <v>3</v>
      </c>
      <c r="Q431">
        <v>2</v>
      </c>
      <c r="R431">
        <f>Estadisticas_jugador[[#This Row],[tackles]]+Estadisticas_jugador[[#This Row],[interceptions]]</f>
        <v>5</v>
      </c>
      <c r="S431">
        <v>0</v>
      </c>
    </row>
    <row r="432" spans="1:19" x14ac:dyDescent="0.3">
      <c r="A432" t="s">
        <v>980</v>
      </c>
      <c r="B432" t="s">
        <v>7</v>
      </c>
      <c r="C432">
        <v>23</v>
      </c>
      <c r="D432">
        <v>23</v>
      </c>
      <c r="E432">
        <v>2033</v>
      </c>
      <c r="F432" t="str">
        <f>IF(Estadisticas_jugador[[#This Row],[minutes_played]]&gt;900, "Si", "No")</f>
        <v>Si</v>
      </c>
      <c r="G432">
        <v>0</v>
      </c>
      <c r="H432">
        <v>1</v>
      </c>
      <c r="I432">
        <v>0.54479999999999995</v>
      </c>
      <c r="J432">
        <v>0.57097538000000003</v>
      </c>
      <c r="K432">
        <v>6.9478260869564998</v>
      </c>
      <c r="L432">
        <v>12</v>
      </c>
      <c r="M432">
        <v>1</v>
      </c>
      <c r="N432">
        <v>4</v>
      </c>
      <c r="O432">
        <v>0</v>
      </c>
      <c r="P432">
        <v>25</v>
      </c>
      <c r="Q432">
        <v>16</v>
      </c>
      <c r="R432">
        <f>Estadisticas_jugador[[#This Row],[tackles]]+Estadisticas_jugador[[#This Row],[interceptions]]</f>
        <v>41</v>
      </c>
      <c r="S432">
        <v>0</v>
      </c>
    </row>
    <row r="433" spans="1:19" x14ac:dyDescent="0.3">
      <c r="A433" t="s">
        <v>981</v>
      </c>
      <c r="B433" t="s">
        <v>7</v>
      </c>
      <c r="C433">
        <v>29</v>
      </c>
      <c r="D433">
        <v>29</v>
      </c>
      <c r="E433">
        <v>2610</v>
      </c>
      <c r="F433" t="str">
        <f>IF(Estadisticas_jugador[[#This Row],[minutes_played]]&gt;900, "Si", "No")</f>
        <v>Si</v>
      </c>
      <c r="G433">
        <v>0</v>
      </c>
      <c r="H433">
        <v>0</v>
      </c>
      <c r="I433">
        <v>0.74339999999999995</v>
      </c>
      <c r="J433">
        <v>0.26602327999999997</v>
      </c>
      <c r="K433">
        <v>6.6137931034483</v>
      </c>
      <c r="L433">
        <v>14</v>
      </c>
      <c r="M433">
        <v>7</v>
      </c>
      <c r="N433">
        <v>4</v>
      </c>
      <c r="O433">
        <v>0</v>
      </c>
      <c r="P433">
        <v>32</v>
      </c>
      <c r="Q433">
        <v>15</v>
      </c>
      <c r="R433">
        <f>Estadisticas_jugador[[#This Row],[tackles]]+Estadisticas_jugador[[#This Row],[interceptions]]</f>
        <v>47</v>
      </c>
      <c r="S433">
        <v>0</v>
      </c>
    </row>
    <row r="434" spans="1:19" x14ac:dyDescent="0.3">
      <c r="A434" t="s">
        <v>982</v>
      </c>
      <c r="B434" t="s">
        <v>7</v>
      </c>
      <c r="C434">
        <v>16</v>
      </c>
      <c r="D434">
        <v>8</v>
      </c>
      <c r="E434">
        <v>654</v>
      </c>
      <c r="F434" t="str">
        <f>IF(Estadisticas_jugador[[#This Row],[minutes_played]]&gt;900, "Si", "No")</f>
        <v>No</v>
      </c>
      <c r="G434">
        <v>1</v>
      </c>
      <c r="H434">
        <v>0</v>
      </c>
      <c r="I434">
        <v>0.3014</v>
      </c>
      <c r="J434">
        <v>0.30805831</v>
      </c>
      <c r="K434">
        <v>6.5062499999999996</v>
      </c>
      <c r="L434">
        <v>4</v>
      </c>
      <c r="M434">
        <v>2</v>
      </c>
      <c r="N434">
        <v>2</v>
      </c>
      <c r="O434">
        <v>0</v>
      </c>
      <c r="P434">
        <v>18</v>
      </c>
      <c r="Q434">
        <v>6</v>
      </c>
      <c r="R434">
        <f>Estadisticas_jugador[[#This Row],[tackles]]+Estadisticas_jugador[[#This Row],[interceptions]]</f>
        <v>24</v>
      </c>
      <c r="S434">
        <v>0</v>
      </c>
    </row>
    <row r="435" spans="1:19" x14ac:dyDescent="0.3">
      <c r="A435" t="s">
        <v>983</v>
      </c>
      <c r="B435" t="s">
        <v>7</v>
      </c>
      <c r="C435">
        <v>9</v>
      </c>
      <c r="D435">
        <v>6</v>
      </c>
      <c r="E435">
        <v>475</v>
      </c>
      <c r="F435" t="str">
        <f>IF(Estadisticas_jugador[[#This Row],[minutes_played]]&gt;900, "Si", "No")</f>
        <v>No</v>
      </c>
      <c r="G435">
        <v>0</v>
      </c>
      <c r="H435">
        <v>1</v>
      </c>
      <c r="J435">
        <v>0.43812877</v>
      </c>
      <c r="K435">
        <v>6.4625000000000004</v>
      </c>
      <c r="L435">
        <v>0</v>
      </c>
      <c r="M435">
        <v>0</v>
      </c>
      <c r="N435">
        <v>3</v>
      </c>
      <c r="O435">
        <v>0</v>
      </c>
      <c r="P435">
        <v>8</v>
      </c>
      <c r="Q435">
        <v>5</v>
      </c>
      <c r="R435">
        <f>Estadisticas_jugador[[#This Row],[tackles]]+Estadisticas_jugador[[#This Row],[interceptions]]</f>
        <v>13</v>
      </c>
      <c r="S435">
        <v>0</v>
      </c>
    </row>
    <row r="436" spans="1:19" x14ac:dyDescent="0.3">
      <c r="A436" t="s">
        <v>984</v>
      </c>
      <c r="B436" t="s">
        <v>7</v>
      </c>
      <c r="C436">
        <v>6</v>
      </c>
      <c r="D436">
        <v>5</v>
      </c>
      <c r="E436">
        <v>459</v>
      </c>
      <c r="F436" t="str">
        <f>IF(Estadisticas_jugador[[#This Row],[minutes_played]]&gt;900, "Si", "No")</f>
        <v>No</v>
      </c>
      <c r="G436">
        <v>0</v>
      </c>
      <c r="H436">
        <v>0</v>
      </c>
      <c r="I436">
        <v>0.29530000000000001</v>
      </c>
      <c r="J436">
        <v>5.0330430000000002E-2</v>
      </c>
      <c r="K436">
        <v>6.5666666666667002</v>
      </c>
      <c r="L436">
        <v>3</v>
      </c>
      <c r="M436">
        <v>0</v>
      </c>
      <c r="N436">
        <v>1</v>
      </c>
      <c r="O436">
        <v>0</v>
      </c>
      <c r="P436">
        <v>5</v>
      </c>
      <c r="Q436">
        <v>4</v>
      </c>
      <c r="R436">
        <f>Estadisticas_jugador[[#This Row],[tackles]]+Estadisticas_jugador[[#This Row],[interceptions]]</f>
        <v>9</v>
      </c>
      <c r="S436">
        <v>0</v>
      </c>
    </row>
    <row r="437" spans="1:19" x14ac:dyDescent="0.3">
      <c r="A437" t="s">
        <v>985</v>
      </c>
      <c r="B437" t="s">
        <v>7</v>
      </c>
      <c r="C437">
        <v>5</v>
      </c>
      <c r="D437">
        <v>5</v>
      </c>
      <c r="E437">
        <v>450</v>
      </c>
      <c r="F437" t="str">
        <f>IF(Estadisticas_jugador[[#This Row],[minutes_played]]&gt;900, "Si", "No")</f>
        <v>No</v>
      </c>
      <c r="G437">
        <v>0</v>
      </c>
      <c r="H437">
        <v>0</v>
      </c>
      <c r="J437">
        <v>1.6403620000000001E-2</v>
      </c>
      <c r="K437">
        <v>7.06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0</v>
      </c>
      <c r="R437">
        <f>Estadisticas_jugador[[#This Row],[tackles]]+Estadisticas_jugador[[#This Row],[interceptions]]</f>
        <v>0</v>
      </c>
      <c r="S437">
        <v>15</v>
      </c>
    </row>
    <row r="438" spans="1:19" x14ac:dyDescent="0.3">
      <c r="A438" t="s">
        <v>986</v>
      </c>
      <c r="B438" t="s">
        <v>7</v>
      </c>
      <c r="C438">
        <v>24</v>
      </c>
      <c r="D438">
        <v>24</v>
      </c>
      <c r="E438">
        <v>2160</v>
      </c>
      <c r="F438" t="str">
        <f>IF(Estadisticas_jugador[[#This Row],[minutes_played]]&gt;900, "Si", "No")</f>
        <v>Si</v>
      </c>
      <c r="G438">
        <v>0</v>
      </c>
      <c r="H438">
        <v>0</v>
      </c>
      <c r="J438">
        <v>6.6734050000000003E-2</v>
      </c>
      <c r="K438">
        <v>6.9833333333332996</v>
      </c>
      <c r="L438">
        <v>0</v>
      </c>
      <c r="M438">
        <v>0</v>
      </c>
      <c r="N438">
        <v>3</v>
      </c>
      <c r="O438">
        <v>0</v>
      </c>
      <c r="P438">
        <v>1</v>
      </c>
      <c r="Q438">
        <v>1</v>
      </c>
      <c r="R438">
        <f>Estadisticas_jugador[[#This Row],[tackles]]+Estadisticas_jugador[[#This Row],[interceptions]]</f>
        <v>2</v>
      </c>
      <c r="S438">
        <v>81</v>
      </c>
    </row>
    <row r="439" spans="1:19" x14ac:dyDescent="0.3">
      <c r="A439" t="s">
        <v>987</v>
      </c>
      <c r="B439" t="s">
        <v>7</v>
      </c>
      <c r="C439">
        <v>26</v>
      </c>
      <c r="D439">
        <v>18</v>
      </c>
      <c r="E439">
        <v>1609</v>
      </c>
      <c r="F439" t="str">
        <f>IF(Estadisticas_jugador[[#This Row],[minutes_played]]&gt;900, "Si", "No")</f>
        <v>Si</v>
      </c>
      <c r="G439">
        <v>6</v>
      </c>
      <c r="H439">
        <v>4</v>
      </c>
      <c r="I439">
        <v>7.3068999999999997</v>
      </c>
      <c r="J439">
        <v>1.5639605000000001</v>
      </c>
      <c r="K439">
        <v>6.6923076923076996</v>
      </c>
      <c r="L439">
        <v>41</v>
      </c>
      <c r="M439">
        <v>17</v>
      </c>
      <c r="N439">
        <v>2</v>
      </c>
      <c r="O439">
        <v>0</v>
      </c>
      <c r="P439">
        <v>27</v>
      </c>
      <c r="Q439">
        <v>4</v>
      </c>
      <c r="R439">
        <f>Estadisticas_jugador[[#This Row],[tackles]]+Estadisticas_jugador[[#This Row],[interceptions]]</f>
        <v>31</v>
      </c>
      <c r="S439">
        <v>0</v>
      </c>
    </row>
    <row r="440" spans="1:19" x14ac:dyDescent="0.3">
      <c r="A440" t="s">
        <v>988</v>
      </c>
      <c r="B440" t="s">
        <v>7</v>
      </c>
      <c r="C440">
        <v>19</v>
      </c>
      <c r="D440">
        <v>1</v>
      </c>
      <c r="E440">
        <v>359</v>
      </c>
      <c r="F440" t="str">
        <f>IF(Estadisticas_jugador[[#This Row],[minutes_played]]&gt;900, "Si", "No")</f>
        <v>No</v>
      </c>
      <c r="G440">
        <v>1</v>
      </c>
      <c r="H440">
        <v>1</v>
      </c>
      <c r="I440">
        <v>2.0972</v>
      </c>
      <c r="J440">
        <v>0.50979268</v>
      </c>
      <c r="K440">
        <v>6.6789473684210998</v>
      </c>
      <c r="L440">
        <v>9</v>
      </c>
      <c r="M440">
        <v>4</v>
      </c>
      <c r="N440">
        <v>1</v>
      </c>
      <c r="O440">
        <v>0</v>
      </c>
      <c r="P440">
        <v>9</v>
      </c>
      <c r="Q440">
        <v>3</v>
      </c>
      <c r="R440">
        <f>Estadisticas_jugador[[#This Row],[tackles]]+Estadisticas_jugador[[#This Row],[interceptions]]</f>
        <v>12</v>
      </c>
      <c r="S440">
        <v>0</v>
      </c>
    </row>
    <row r="441" spans="1:19" x14ac:dyDescent="0.3">
      <c r="A441" t="s">
        <v>989</v>
      </c>
      <c r="B441" t="s">
        <v>7</v>
      </c>
      <c r="C441">
        <v>25</v>
      </c>
      <c r="D441">
        <v>23</v>
      </c>
      <c r="E441">
        <v>1851</v>
      </c>
      <c r="F441" t="str">
        <f>IF(Estadisticas_jugador[[#This Row],[minutes_played]]&gt;900, "Si", "No")</f>
        <v>Si</v>
      </c>
      <c r="G441">
        <v>5</v>
      </c>
      <c r="H441">
        <v>1</v>
      </c>
      <c r="I441">
        <v>6.4965000000000002</v>
      </c>
      <c r="J441">
        <v>1.6907768700000001</v>
      </c>
      <c r="K441">
        <v>6.9160000000000004</v>
      </c>
      <c r="L441">
        <v>49</v>
      </c>
      <c r="M441">
        <v>13</v>
      </c>
      <c r="N441">
        <v>3</v>
      </c>
      <c r="O441">
        <v>0</v>
      </c>
      <c r="P441">
        <v>26</v>
      </c>
      <c r="Q441">
        <v>8</v>
      </c>
      <c r="R441">
        <f>Estadisticas_jugador[[#This Row],[tackles]]+Estadisticas_jugador[[#This Row],[interceptions]]</f>
        <v>34</v>
      </c>
      <c r="S441">
        <v>0</v>
      </c>
    </row>
    <row r="442" spans="1:19" x14ac:dyDescent="0.3">
      <c r="A442" t="s">
        <v>990</v>
      </c>
      <c r="B442" t="s">
        <v>7</v>
      </c>
      <c r="C442">
        <v>16</v>
      </c>
      <c r="D442">
        <v>4</v>
      </c>
      <c r="E442">
        <v>571</v>
      </c>
      <c r="F442" t="str">
        <f>IF(Estadisticas_jugador[[#This Row],[minutes_played]]&gt;900, "Si", "No")</f>
        <v>No</v>
      </c>
      <c r="G442">
        <v>7</v>
      </c>
      <c r="H442">
        <v>0</v>
      </c>
      <c r="I442">
        <v>2.8755000000000002</v>
      </c>
      <c r="J442">
        <v>9.0906050000000002E-2</v>
      </c>
      <c r="K442">
        <v>6.9</v>
      </c>
      <c r="L442">
        <v>22</v>
      </c>
      <c r="M442">
        <v>13</v>
      </c>
      <c r="N442">
        <v>1</v>
      </c>
      <c r="O442">
        <v>0</v>
      </c>
      <c r="P442">
        <v>7</v>
      </c>
      <c r="Q442">
        <v>3</v>
      </c>
      <c r="R442">
        <f>Estadisticas_jugador[[#This Row],[tackles]]+Estadisticas_jugador[[#This Row],[interceptions]]</f>
        <v>10</v>
      </c>
      <c r="S442">
        <v>0</v>
      </c>
    </row>
    <row r="443" spans="1:19" x14ac:dyDescent="0.3">
      <c r="A443" t="s">
        <v>991</v>
      </c>
      <c r="B443" t="s">
        <v>7</v>
      </c>
      <c r="C443">
        <v>13</v>
      </c>
      <c r="D443">
        <v>11</v>
      </c>
      <c r="E443">
        <v>805</v>
      </c>
      <c r="F443" t="str">
        <f>IF(Estadisticas_jugador[[#This Row],[minutes_played]]&gt;900, "Si", "No")</f>
        <v>No</v>
      </c>
      <c r="G443">
        <v>0</v>
      </c>
      <c r="H443">
        <v>1</v>
      </c>
      <c r="I443">
        <v>0.43209999999999998</v>
      </c>
      <c r="J443">
        <v>0.28779006000000001</v>
      </c>
      <c r="K443">
        <v>6.5083333333333</v>
      </c>
      <c r="L443">
        <v>11</v>
      </c>
      <c r="M443">
        <v>1</v>
      </c>
      <c r="N443">
        <v>3</v>
      </c>
      <c r="O443">
        <v>0</v>
      </c>
      <c r="P443">
        <v>19</v>
      </c>
      <c r="Q443">
        <v>9</v>
      </c>
      <c r="R443">
        <f>Estadisticas_jugador[[#This Row],[tackles]]+Estadisticas_jugador[[#This Row],[interceptions]]</f>
        <v>28</v>
      </c>
      <c r="S443">
        <v>0</v>
      </c>
    </row>
    <row r="444" spans="1:19" x14ac:dyDescent="0.3">
      <c r="A444" t="s">
        <v>992</v>
      </c>
      <c r="B444" t="s">
        <v>7</v>
      </c>
      <c r="C444">
        <v>11</v>
      </c>
      <c r="D444">
        <v>3</v>
      </c>
      <c r="E444">
        <v>416</v>
      </c>
      <c r="F444" t="str">
        <f>IF(Estadisticas_jugador[[#This Row],[minutes_played]]&gt;900, "Si", "No")</f>
        <v>No</v>
      </c>
      <c r="G444">
        <v>0</v>
      </c>
      <c r="H444">
        <v>0</v>
      </c>
      <c r="I444">
        <v>0.48809999999999998</v>
      </c>
      <c r="J444">
        <v>0.47144870999999999</v>
      </c>
      <c r="K444">
        <v>6.56</v>
      </c>
      <c r="L444">
        <v>11</v>
      </c>
      <c r="M444">
        <v>4</v>
      </c>
      <c r="N444">
        <v>2</v>
      </c>
      <c r="O444">
        <v>0</v>
      </c>
      <c r="P444">
        <v>1</v>
      </c>
      <c r="Q444">
        <v>2</v>
      </c>
      <c r="R444">
        <f>Estadisticas_jugador[[#This Row],[tackles]]+Estadisticas_jugador[[#This Row],[interceptions]]</f>
        <v>3</v>
      </c>
      <c r="S444">
        <v>0</v>
      </c>
    </row>
    <row r="445" spans="1:19" x14ac:dyDescent="0.3">
      <c r="A445" t="s">
        <v>993</v>
      </c>
      <c r="B445" t="s">
        <v>7</v>
      </c>
      <c r="C445">
        <v>20</v>
      </c>
      <c r="D445">
        <v>12</v>
      </c>
      <c r="E445">
        <v>1167</v>
      </c>
      <c r="F445" t="str">
        <f>IF(Estadisticas_jugador[[#This Row],[minutes_played]]&gt;900, "Si", "No")</f>
        <v>Si</v>
      </c>
      <c r="G445">
        <v>1</v>
      </c>
      <c r="H445">
        <v>1</v>
      </c>
      <c r="I445">
        <v>0.34150000000000003</v>
      </c>
      <c r="J445">
        <v>0.42441867999999999</v>
      </c>
      <c r="K445">
        <v>6.8049999999999997</v>
      </c>
      <c r="L445">
        <v>9</v>
      </c>
      <c r="M445">
        <v>3</v>
      </c>
      <c r="N445">
        <v>4</v>
      </c>
      <c r="O445">
        <v>1</v>
      </c>
      <c r="P445">
        <v>27</v>
      </c>
      <c r="Q445">
        <v>11</v>
      </c>
      <c r="R445">
        <f>Estadisticas_jugador[[#This Row],[tackles]]+Estadisticas_jugador[[#This Row],[interceptions]]</f>
        <v>38</v>
      </c>
      <c r="S445">
        <v>0</v>
      </c>
    </row>
    <row r="446" spans="1:19" x14ac:dyDescent="0.3">
      <c r="A446" t="s">
        <v>994</v>
      </c>
      <c r="B446" t="s">
        <v>7</v>
      </c>
      <c r="C446">
        <v>26</v>
      </c>
      <c r="D446">
        <v>22</v>
      </c>
      <c r="E446">
        <v>1805</v>
      </c>
      <c r="F446" t="str">
        <f>IF(Estadisticas_jugador[[#This Row],[minutes_played]]&gt;900, "Si", "No")</f>
        <v>Si</v>
      </c>
      <c r="G446">
        <v>3</v>
      </c>
      <c r="H446">
        <v>1</v>
      </c>
      <c r="I446">
        <v>2.6252</v>
      </c>
      <c r="J446">
        <v>3.8489454799999998</v>
      </c>
      <c r="K446">
        <v>6.8307692307692003</v>
      </c>
      <c r="L446">
        <v>27</v>
      </c>
      <c r="M446">
        <v>10</v>
      </c>
      <c r="N446">
        <v>3</v>
      </c>
      <c r="O446">
        <v>0</v>
      </c>
      <c r="P446">
        <v>22</v>
      </c>
      <c r="Q446">
        <v>13</v>
      </c>
      <c r="R446">
        <f>Estadisticas_jugador[[#This Row],[tackles]]+Estadisticas_jugador[[#This Row],[interceptions]]</f>
        <v>35</v>
      </c>
      <c r="S446">
        <v>0</v>
      </c>
    </row>
    <row r="447" spans="1:19" x14ac:dyDescent="0.3">
      <c r="A447" t="s">
        <v>995</v>
      </c>
      <c r="B447" t="s">
        <v>7</v>
      </c>
      <c r="C447">
        <v>17</v>
      </c>
      <c r="D447">
        <v>12</v>
      </c>
      <c r="E447">
        <v>1133</v>
      </c>
      <c r="F447" t="str">
        <f>IF(Estadisticas_jugador[[#This Row],[minutes_played]]&gt;900, "Si", "No")</f>
        <v>Si</v>
      </c>
      <c r="G447">
        <v>0</v>
      </c>
      <c r="H447">
        <v>0</v>
      </c>
      <c r="I447">
        <v>0.38719999999999999</v>
      </c>
      <c r="J447">
        <v>0.3981305</v>
      </c>
      <c r="K447">
        <v>6.6411764705882002</v>
      </c>
      <c r="L447">
        <v>6</v>
      </c>
      <c r="M447">
        <v>1</v>
      </c>
      <c r="N447">
        <v>3</v>
      </c>
      <c r="O447">
        <v>0</v>
      </c>
      <c r="P447">
        <v>18</v>
      </c>
      <c r="Q447">
        <v>8</v>
      </c>
      <c r="R447">
        <f>Estadisticas_jugador[[#This Row],[tackles]]+Estadisticas_jugador[[#This Row],[interceptions]]</f>
        <v>26</v>
      </c>
      <c r="S447">
        <v>0</v>
      </c>
    </row>
    <row r="448" spans="1:19" x14ac:dyDescent="0.3">
      <c r="A448" t="s">
        <v>996</v>
      </c>
      <c r="B448" t="s">
        <v>7</v>
      </c>
      <c r="C448">
        <v>3</v>
      </c>
      <c r="D448">
        <v>0</v>
      </c>
      <c r="E448">
        <v>36</v>
      </c>
      <c r="F448" t="str">
        <f>IF(Estadisticas_jugador[[#This Row],[minutes_played]]&gt;900, "Si", "No")</f>
        <v>No</v>
      </c>
      <c r="G448">
        <v>0</v>
      </c>
      <c r="H448">
        <v>0</v>
      </c>
      <c r="J448">
        <v>3.2905399999999998E-3</v>
      </c>
      <c r="K448">
        <v>6.5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0</v>
      </c>
      <c r="R448">
        <f>Estadisticas_jugador[[#This Row],[tackles]]+Estadisticas_jugador[[#This Row],[interceptions]]</f>
        <v>1</v>
      </c>
      <c r="S448">
        <v>0</v>
      </c>
    </row>
    <row r="449" spans="1:19" x14ac:dyDescent="0.3">
      <c r="A449" t="s">
        <v>997</v>
      </c>
      <c r="B449" t="s">
        <v>7</v>
      </c>
      <c r="C449">
        <v>17</v>
      </c>
      <c r="D449">
        <v>8</v>
      </c>
      <c r="E449">
        <v>651</v>
      </c>
      <c r="F449" t="str">
        <f>IF(Estadisticas_jugador[[#This Row],[minutes_played]]&gt;900, "Si", "No")</f>
        <v>No</v>
      </c>
      <c r="G449">
        <v>3</v>
      </c>
      <c r="H449">
        <v>1</v>
      </c>
      <c r="I449">
        <v>1.694</v>
      </c>
      <c r="J449">
        <v>0.69208988999999999</v>
      </c>
      <c r="K449">
        <v>6.7176470588235002</v>
      </c>
      <c r="L449">
        <v>13</v>
      </c>
      <c r="M449">
        <v>4</v>
      </c>
      <c r="N449">
        <v>1</v>
      </c>
      <c r="O449">
        <v>0</v>
      </c>
      <c r="P449">
        <v>8</v>
      </c>
      <c r="Q449">
        <v>9</v>
      </c>
      <c r="R449">
        <f>Estadisticas_jugador[[#This Row],[tackles]]+Estadisticas_jugador[[#This Row],[interceptions]]</f>
        <v>17</v>
      </c>
      <c r="S449">
        <v>0</v>
      </c>
    </row>
    <row r="450" spans="1:19" x14ac:dyDescent="0.3">
      <c r="A450" t="s">
        <v>998</v>
      </c>
      <c r="B450" t="s">
        <v>7</v>
      </c>
      <c r="C450">
        <v>8</v>
      </c>
      <c r="D450">
        <v>5</v>
      </c>
      <c r="E450">
        <v>434</v>
      </c>
      <c r="F450" t="str">
        <f>IF(Estadisticas_jugador[[#This Row],[minutes_played]]&gt;900, "Si", "No")</f>
        <v>No</v>
      </c>
      <c r="G450">
        <v>0</v>
      </c>
      <c r="H450">
        <v>0</v>
      </c>
      <c r="I450">
        <v>2.4799999999999999E-2</v>
      </c>
      <c r="J450">
        <v>4.3519740000000001E-2</v>
      </c>
      <c r="K450">
        <v>6.85</v>
      </c>
      <c r="L450">
        <v>1</v>
      </c>
      <c r="M450">
        <v>0</v>
      </c>
      <c r="N450">
        <v>0</v>
      </c>
      <c r="O450">
        <v>0</v>
      </c>
      <c r="P450">
        <v>12</v>
      </c>
      <c r="Q450">
        <v>6</v>
      </c>
      <c r="R450">
        <f>Estadisticas_jugador[[#This Row],[tackles]]+Estadisticas_jugador[[#This Row],[interceptions]]</f>
        <v>18</v>
      </c>
      <c r="S450">
        <v>0</v>
      </c>
    </row>
    <row r="451" spans="1:19" x14ac:dyDescent="0.3">
      <c r="A451" t="s">
        <v>999</v>
      </c>
      <c r="B451" t="s">
        <v>7</v>
      </c>
      <c r="C451">
        <v>24</v>
      </c>
      <c r="D451">
        <v>9</v>
      </c>
      <c r="E451">
        <v>989</v>
      </c>
      <c r="F451" t="str">
        <f>IF(Estadisticas_jugador[[#This Row],[minutes_played]]&gt;900, "Si", "No")</f>
        <v>Si</v>
      </c>
      <c r="G451">
        <v>1</v>
      </c>
      <c r="H451">
        <v>2</v>
      </c>
      <c r="I451">
        <v>1.1798</v>
      </c>
      <c r="J451">
        <v>1.49495329</v>
      </c>
      <c r="K451">
        <v>6.7374999999999998</v>
      </c>
      <c r="L451">
        <v>17</v>
      </c>
      <c r="M451">
        <v>6</v>
      </c>
      <c r="N451">
        <v>3</v>
      </c>
      <c r="O451">
        <v>1</v>
      </c>
      <c r="P451">
        <v>19</v>
      </c>
      <c r="Q451">
        <v>10</v>
      </c>
      <c r="R451">
        <f>Estadisticas_jugador[[#This Row],[tackles]]+Estadisticas_jugador[[#This Row],[interceptions]]</f>
        <v>29</v>
      </c>
      <c r="S451">
        <v>0</v>
      </c>
    </row>
    <row r="452" spans="1:19" x14ac:dyDescent="0.3">
      <c r="A452" t="s">
        <v>1000</v>
      </c>
      <c r="B452" t="s">
        <v>7</v>
      </c>
      <c r="C452">
        <v>18</v>
      </c>
      <c r="D452">
        <v>13</v>
      </c>
      <c r="E452">
        <v>1204</v>
      </c>
      <c r="F452" t="str">
        <f>IF(Estadisticas_jugador[[#This Row],[minutes_played]]&gt;900, "Si", "No")</f>
        <v>Si</v>
      </c>
      <c r="G452">
        <v>1</v>
      </c>
      <c r="H452">
        <v>2</v>
      </c>
      <c r="I452">
        <v>1.7283999999999999</v>
      </c>
      <c r="J452">
        <v>2.1864563600000002</v>
      </c>
      <c r="K452">
        <v>6.8222222222221998</v>
      </c>
      <c r="L452">
        <v>23</v>
      </c>
      <c r="M452">
        <v>4</v>
      </c>
      <c r="N452">
        <v>2</v>
      </c>
      <c r="O452">
        <v>0</v>
      </c>
      <c r="P452">
        <v>12</v>
      </c>
      <c r="Q452">
        <v>16</v>
      </c>
      <c r="R452">
        <f>Estadisticas_jugador[[#This Row],[tackles]]+Estadisticas_jugador[[#This Row],[interceptions]]</f>
        <v>28</v>
      </c>
      <c r="S452">
        <v>0</v>
      </c>
    </row>
    <row r="453" spans="1:19" x14ac:dyDescent="0.3">
      <c r="A453" t="s">
        <v>1001</v>
      </c>
      <c r="B453" t="s">
        <v>7</v>
      </c>
      <c r="C453">
        <v>16</v>
      </c>
      <c r="D453">
        <v>11</v>
      </c>
      <c r="E453">
        <v>818</v>
      </c>
      <c r="F453" t="str">
        <f>IF(Estadisticas_jugador[[#This Row],[minutes_played]]&gt;900, "Si", "No")</f>
        <v>No</v>
      </c>
      <c r="G453">
        <v>0</v>
      </c>
      <c r="H453">
        <v>0</v>
      </c>
      <c r="J453">
        <v>1.53268889</v>
      </c>
      <c r="K453">
        <v>6.6937499999999996</v>
      </c>
      <c r="L453">
        <v>0</v>
      </c>
      <c r="M453">
        <v>0</v>
      </c>
      <c r="N453">
        <v>3</v>
      </c>
      <c r="O453">
        <v>1</v>
      </c>
      <c r="P453">
        <v>22</v>
      </c>
      <c r="Q453">
        <v>6</v>
      </c>
      <c r="R453">
        <f>Estadisticas_jugador[[#This Row],[tackles]]+Estadisticas_jugador[[#This Row],[interceptions]]</f>
        <v>28</v>
      </c>
      <c r="S453">
        <v>0</v>
      </c>
    </row>
    <row r="454" spans="1:19" x14ac:dyDescent="0.3">
      <c r="A454" t="s">
        <v>1002</v>
      </c>
      <c r="B454" t="s">
        <v>7</v>
      </c>
      <c r="C454">
        <v>15</v>
      </c>
      <c r="D454">
        <v>10</v>
      </c>
      <c r="E454">
        <v>900</v>
      </c>
      <c r="F454" t="str">
        <f>IF(Estadisticas_jugador[[#This Row],[minutes_played]]&gt;900, "Si", "No")</f>
        <v>No</v>
      </c>
      <c r="G454">
        <v>0</v>
      </c>
      <c r="H454">
        <v>1</v>
      </c>
      <c r="I454">
        <v>2.2101999999999999</v>
      </c>
      <c r="J454">
        <v>0.65580141000000003</v>
      </c>
      <c r="K454">
        <v>6.3466666666667004</v>
      </c>
      <c r="L454">
        <v>18</v>
      </c>
      <c r="M454">
        <v>5</v>
      </c>
      <c r="N454">
        <v>1</v>
      </c>
      <c r="O454">
        <v>0</v>
      </c>
      <c r="P454">
        <v>10</v>
      </c>
      <c r="Q454">
        <v>4</v>
      </c>
      <c r="R454">
        <f>Estadisticas_jugador[[#This Row],[tackles]]+Estadisticas_jugador[[#This Row],[interceptions]]</f>
        <v>14</v>
      </c>
      <c r="S454">
        <v>0</v>
      </c>
    </row>
    <row r="455" spans="1:19" x14ac:dyDescent="0.3">
      <c r="A455" t="s">
        <v>1003</v>
      </c>
      <c r="B455" t="s">
        <v>7</v>
      </c>
      <c r="C455">
        <v>15</v>
      </c>
      <c r="D455">
        <v>8</v>
      </c>
      <c r="E455">
        <v>703</v>
      </c>
      <c r="F455" t="str">
        <f>IF(Estadisticas_jugador[[#This Row],[minutes_played]]&gt;900, "Si", "No")</f>
        <v>No</v>
      </c>
      <c r="G455">
        <v>0</v>
      </c>
      <c r="H455">
        <v>1</v>
      </c>
      <c r="I455">
        <v>0.87039999999999995</v>
      </c>
      <c r="J455">
        <v>0.87743694000000005</v>
      </c>
      <c r="K455">
        <v>6.7</v>
      </c>
      <c r="L455">
        <v>12</v>
      </c>
      <c r="M455">
        <v>4</v>
      </c>
      <c r="N455">
        <v>0</v>
      </c>
      <c r="O455">
        <v>0</v>
      </c>
      <c r="P455">
        <v>11</v>
      </c>
      <c r="Q455">
        <v>9</v>
      </c>
      <c r="R455">
        <f>Estadisticas_jugador[[#This Row],[tackles]]+Estadisticas_jugador[[#This Row],[interceptions]]</f>
        <v>20</v>
      </c>
      <c r="S455">
        <v>0</v>
      </c>
    </row>
    <row r="456" spans="1:19" x14ac:dyDescent="0.3">
      <c r="A456" t="s">
        <v>1004</v>
      </c>
      <c r="B456" t="s">
        <v>7</v>
      </c>
      <c r="C456">
        <v>15</v>
      </c>
      <c r="D456">
        <v>9</v>
      </c>
      <c r="E456">
        <v>797</v>
      </c>
      <c r="F456" t="str">
        <f>IF(Estadisticas_jugador[[#This Row],[minutes_played]]&gt;900, "Si", "No")</f>
        <v>No</v>
      </c>
      <c r="G456">
        <v>1</v>
      </c>
      <c r="H456">
        <v>0</v>
      </c>
      <c r="I456">
        <v>0.57550000000000001</v>
      </c>
      <c r="J456">
        <v>0.14009126</v>
      </c>
      <c r="K456">
        <v>6.4533333333333003</v>
      </c>
      <c r="L456">
        <v>7</v>
      </c>
      <c r="M456">
        <v>1</v>
      </c>
      <c r="N456">
        <v>0</v>
      </c>
      <c r="O456">
        <v>1</v>
      </c>
      <c r="P456">
        <v>20</v>
      </c>
      <c r="Q456">
        <v>6</v>
      </c>
      <c r="R456">
        <f>Estadisticas_jugador[[#This Row],[tackles]]+Estadisticas_jugador[[#This Row],[interceptions]]</f>
        <v>26</v>
      </c>
      <c r="S456">
        <v>0</v>
      </c>
    </row>
    <row r="457" spans="1:19" x14ac:dyDescent="0.3">
      <c r="A457" t="s">
        <v>1005</v>
      </c>
      <c r="B457" t="s">
        <v>7</v>
      </c>
      <c r="C457">
        <v>19</v>
      </c>
      <c r="D457">
        <v>18</v>
      </c>
      <c r="E457">
        <v>1501</v>
      </c>
      <c r="F457" t="str">
        <f>IF(Estadisticas_jugador[[#This Row],[minutes_played]]&gt;900, "Si", "No")</f>
        <v>Si</v>
      </c>
      <c r="G457">
        <v>0</v>
      </c>
      <c r="H457">
        <v>0</v>
      </c>
      <c r="I457">
        <v>0.74750000000000005</v>
      </c>
      <c r="J457">
        <v>0.40193174999999998</v>
      </c>
      <c r="K457">
        <v>6.9</v>
      </c>
      <c r="L457">
        <v>7</v>
      </c>
      <c r="M457">
        <v>0</v>
      </c>
      <c r="N457">
        <v>5</v>
      </c>
      <c r="O457">
        <v>0</v>
      </c>
      <c r="P457">
        <v>23</v>
      </c>
      <c r="Q457">
        <v>25</v>
      </c>
      <c r="R457">
        <f>Estadisticas_jugador[[#This Row],[tackles]]+Estadisticas_jugador[[#This Row],[interceptions]]</f>
        <v>48</v>
      </c>
      <c r="S457">
        <v>0</v>
      </c>
    </row>
    <row r="458" spans="1:19" x14ac:dyDescent="0.3">
      <c r="A458" t="s">
        <v>1006</v>
      </c>
      <c r="B458" t="s">
        <v>7</v>
      </c>
      <c r="C458">
        <v>25</v>
      </c>
      <c r="D458">
        <v>24</v>
      </c>
      <c r="E458">
        <v>2177</v>
      </c>
      <c r="F458" t="str">
        <f>IF(Estadisticas_jugador[[#This Row],[minutes_played]]&gt;900, "Si", "No")</f>
        <v>Si</v>
      </c>
      <c r="G458">
        <v>1</v>
      </c>
      <c r="H458">
        <v>1</v>
      </c>
      <c r="I458">
        <v>0.72119999999999995</v>
      </c>
      <c r="J458">
        <v>0.85126429999999997</v>
      </c>
      <c r="K458">
        <v>6.524</v>
      </c>
      <c r="L458">
        <v>10</v>
      </c>
      <c r="M458">
        <v>3</v>
      </c>
      <c r="N458">
        <v>7</v>
      </c>
      <c r="O458">
        <v>0</v>
      </c>
      <c r="P458">
        <v>68</v>
      </c>
      <c r="Q458">
        <v>29</v>
      </c>
      <c r="R458">
        <f>Estadisticas_jugador[[#This Row],[tackles]]+Estadisticas_jugador[[#This Row],[interceptions]]</f>
        <v>97</v>
      </c>
      <c r="S458">
        <v>0</v>
      </c>
    </row>
    <row r="459" spans="1:19" x14ac:dyDescent="0.3">
      <c r="A459" t="s">
        <v>1007</v>
      </c>
      <c r="B459" t="s">
        <v>7</v>
      </c>
      <c r="C459">
        <v>25</v>
      </c>
      <c r="D459">
        <v>22</v>
      </c>
      <c r="E459">
        <v>2004</v>
      </c>
      <c r="F459" t="str">
        <f>IF(Estadisticas_jugador[[#This Row],[minutes_played]]&gt;900, "Si", "No")</f>
        <v>Si</v>
      </c>
      <c r="G459">
        <v>2</v>
      </c>
      <c r="H459">
        <v>1</v>
      </c>
      <c r="I459">
        <v>2.0503999999999998</v>
      </c>
      <c r="J459">
        <v>1.1514570099999999</v>
      </c>
      <c r="K459">
        <v>6.8760000000000003</v>
      </c>
      <c r="L459">
        <v>26</v>
      </c>
      <c r="M459">
        <v>5</v>
      </c>
      <c r="N459">
        <v>5</v>
      </c>
      <c r="O459">
        <v>0</v>
      </c>
      <c r="P459">
        <v>26</v>
      </c>
      <c r="Q459">
        <v>37</v>
      </c>
      <c r="R459">
        <f>Estadisticas_jugador[[#This Row],[tackles]]+Estadisticas_jugador[[#This Row],[interceptions]]</f>
        <v>63</v>
      </c>
      <c r="S459">
        <v>0</v>
      </c>
    </row>
    <row r="460" spans="1:19" x14ac:dyDescent="0.3">
      <c r="A460" t="s">
        <v>1008</v>
      </c>
      <c r="B460" t="s">
        <v>7</v>
      </c>
      <c r="C460">
        <v>28</v>
      </c>
      <c r="D460">
        <v>28</v>
      </c>
      <c r="E460">
        <v>2430</v>
      </c>
      <c r="F460" t="str">
        <f>IF(Estadisticas_jugador[[#This Row],[minutes_played]]&gt;900, "Si", "No")</f>
        <v>Si</v>
      </c>
      <c r="G460">
        <v>1</v>
      </c>
      <c r="H460">
        <v>3</v>
      </c>
      <c r="I460">
        <v>0.96740000000000004</v>
      </c>
      <c r="J460">
        <v>3.3427648200000002</v>
      </c>
      <c r="K460">
        <v>6.5607142857143002</v>
      </c>
      <c r="L460">
        <v>9</v>
      </c>
      <c r="M460">
        <v>1</v>
      </c>
      <c r="N460">
        <v>7</v>
      </c>
      <c r="O460">
        <v>0</v>
      </c>
      <c r="P460">
        <v>53</v>
      </c>
      <c r="Q460">
        <v>23</v>
      </c>
      <c r="R460">
        <f>Estadisticas_jugador[[#This Row],[tackles]]+Estadisticas_jugador[[#This Row],[interceptions]]</f>
        <v>76</v>
      </c>
      <c r="S460">
        <v>0</v>
      </c>
    </row>
    <row r="461" spans="1:19" x14ac:dyDescent="0.3">
      <c r="A461" t="s">
        <v>1009</v>
      </c>
      <c r="B461" t="s">
        <v>7</v>
      </c>
      <c r="C461">
        <v>12</v>
      </c>
      <c r="D461">
        <v>11</v>
      </c>
      <c r="E461">
        <v>958</v>
      </c>
      <c r="F461" t="str">
        <f>IF(Estadisticas_jugador[[#This Row],[minutes_played]]&gt;900, "Si", "No")</f>
        <v>Si</v>
      </c>
      <c r="G461">
        <v>1</v>
      </c>
      <c r="H461">
        <v>0</v>
      </c>
      <c r="I461">
        <v>0.66800000000000004</v>
      </c>
      <c r="J461">
        <v>0.35103357000000002</v>
      </c>
      <c r="K461">
        <v>6.6833333333332998</v>
      </c>
      <c r="L461">
        <v>3</v>
      </c>
      <c r="M461">
        <v>1</v>
      </c>
      <c r="N461">
        <v>2</v>
      </c>
      <c r="O461">
        <v>0</v>
      </c>
      <c r="P461">
        <v>8</v>
      </c>
      <c r="Q461">
        <v>3</v>
      </c>
      <c r="R461">
        <f>Estadisticas_jugador[[#This Row],[tackles]]+Estadisticas_jugador[[#This Row],[interceptions]]</f>
        <v>11</v>
      </c>
      <c r="S461">
        <v>0</v>
      </c>
    </row>
    <row r="462" spans="1:19" x14ac:dyDescent="0.3">
      <c r="A462" t="s">
        <v>1010</v>
      </c>
      <c r="B462" t="s">
        <v>7</v>
      </c>
      <c r="C462">
        <v>6</v>
      </c>
      <c r="D462">
        <v>4</v>
      </c>
      <c r="E462">
        <v>367</v>
      </c>
      <c r="F462" t="str">
        <f>IF(Estadisticas_jugador[[#This Row],[minutes_played]]&gt;900, "Si", "No")</f>
        <v>No</v>
      </c>
      <c r="G462">
        <v>0</v>
      </c>
      <c r="H462">
        <v>0</v>
      </c>
      <c r="I462">
        <v>0.2084</v>
      </c>
      <c r="J462">
        <v>0.17413368000000001</v>
      </c>
      <c r="K462">
        <v>6.4333333333332998</v>
      </c>
      <c r="L462">
        <v>3</v>
      </c>
      <c r="M462">
        <v>0</v>
      </c>
      <c r="N462">
        <v>2</v>
      </c>
      <c r="O462">
        <v>0</v>
      </c>
      <c r="P462">
        <v>8</v>
      </c>
      <c r="Q462">
        <v>4</v>
      </c>
      <c r="R462">
        <f>Estadisticas_jugador[[#This Row],[tackles]]+Estadisticas_jugador[[#This Row],[interceptions]]</f>
        <v>12</v>
      </c>
      <c r="S462">
        <v>0</v>
      </c>
    </row>
    <row r="463" spans="1:19" x14ac:dyDescent="0.3">
      <c r="A463" t="s">
        <v>1011</v>
      </c>
      <c r="B463" t="s">
        <v>7</v>
      </c>
      <c r="C463">
        <v>27</v>
      </c>
      <c r="D463">
        <v>27</v>
      </c>
      <c r="E463">
        <v>2430</v>
      </c>
      <c r="F463" t="str">
        <f>IF(Estadisticas_jugador[[#This Row],[minutes_played]]&gt;900, "Si", "No")</f>
        <v>Si</v>
      </c>
      <c r="G463">
        <v>0</v>
      </c>
      <c r="H463">
        <v>0</v>
      </c>
      <c r="I463">
        <v>0.16220000000000001</v>
      </c>
      <c r="J463">
        <v>6.3030649999999994E-2</v>
      </c>
      <c r="K463">
        <v>7.3222222222221998</v>
      </c>
      <c r="L463">
        <v>2</v>
      </c>
      <c r="M463">
        <v>0</v>
      </c>
      <c r="N463">
        <v>2</v>
      </c>
      <c r="O463">
        <v>0</v>
      </c>
      <c r="P463">
        <v>2</v>
      </c>
      <c r="Q463">
        <v>1</v>
      </c>
      <c r="R463">
        <f>Estadisticas_jugador[[#This Row],[tackles]]+Estadisticas_jugador[[#This Row],[interceptions]]</f>
        <v>3</v>
      </c>
      <c r="S463">
        <v>100</v>
      </c>
    </row>
    <row r="464" spans="1:19" x14ac:dyDescent="0.3">
      <c r="A464" t="s">
        <v>1012</v>
      </c>
      <c r="B464" t="s">
        <v>7</v>
      </c>
      <c r="C464">
        <v>2</v>
      </c>
      <c r="D464">
        <v>2</v>
      </c>
      <c r="E464">
        <v>180</v>
      </c>
      <c r="F464" t="str">
        <f>IF(Estadisticas_jugador[[#This Row],[minutes_played]]&gt;900, "Si", "No")</f>
        <v>No</v>
      </c>
      <c r="G464">
        <v>0</v>
      </c>
      <c r="H464">
        <v>0</v>
      </c>
      <c r="J464">
        <v>2.91822E-3</v>
      </c>
      <c r="K464">
        <v>7.75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f>Estadisticas_jugador[[#This Row],[tackles]]+Estadisticas_jugador[[#This Row],[interceptions]]</f>
        <v>0</v>
      </c>
      <c r="S464">
        <v>11</v>
      </c>
    </row>
    <row r="465" spans="1:19" x14ac:dyDescent="0.3">
      <c r="A465" t="s">
        <v>1013</v>
      </c>
      <c r="B465" t="s">
        <v>7</v>
      </c>
      <c r="C465">
        <v>25</v>
      </c>
      <c r="D465">
        <v>20</v>
      </c>
      <c r="E465">
        <v>1795</v>
      </c>
      <c r="F465" t="str">
        <f>IF(Estadisticas_jugador[[#This Row],[minutes_played]]&gt;900, "Si", "No")</f>
        <v>Si</v>
      </c>
      <c r="G465">
        <v>6</v>
      </c>
      <c r="H465">
        <v>1</v>
      </c>
      <c r="I465">
        <v>6.7911999999999999</v>
      </c>
      <c r="J465">
        <v>1.7050637799999999</v>
      </c>
      <c r="K465">
        <v>6.92</v>
      </c>
      <c r="L465">
        <v>41</v>
      </c>
      <c r="M465">
        <v>18</v>
      </c>
      <c r="N465">
        <v>2</v>
      </c>
      <c r="O465">
        <v>3</v>
      </c>
      <c r="P465">
        <v>39</v>
      </c>
      <c r="Q465">
        <v>11</v>
      </c>
      <c r="R465">
        <f>Estadisticas_jugador[[#This Row],[tackles]]+Estadisticas_jugador[[#This Row],[interceptions]]</f>
        <v>50</v>
      </c>
      <c r="S465">
        <v>0</v>
      </c>
    </row>
    <row r="466" spans="1:19" x14ac:dyDescent="0.3">
      <c r="A466" t="s">
        <v>1014</v>
      </c>
      <c r="B466" t="s">
        <v>7</v>
      </c>
      <c r="C466">
        <v>5</v>
      </c>
      <c r="D466">
        <v>0</v>
      </c>
      <c r="E466">
        <v>54</v>
      </c>
      <c r="F466" t="str">
        <f>IF(Estadisticas_jugador[[#This Row],[minutes_played]]&gt;900, "Si", "No")</f>
        <v>No</v>
      </c>
      <c r="G466">
        <v>0</v>
      </c>
      <c r="H466">
        <v>0</v>
      </c>
      <c r="I466">
        <v>0.39839999999999998</v>
      </c>
      <c r="J466">
        <v>1.042444E-2</v>
      </c>
      <c r="K466">
        <v>6.5750000000000002</v>
      </c>
      <c r="L466">
        <v>3</v>
      </c>
      <c r="M466">
        <v>1</v>
      </c>
      <c r="N466">
        <v>1</v>
      </c>
      <c r="O466">
        <v>0</v>
      </c>
      <c r="P466">
        <v>2</v>
      </c>
      <c r="Q466">
        <v>0</v>
      </c>
      <c r="R466">
        <f>Estadisticas_jugador[[#This Row],[tackles]]+Estadisticas_jugador[[#This Row],[interceptions]]</f>
        <v>2</v>
      </c>
      <c r="S466">
        <v>0</v>
      </c>
    </row>
    <row r="467" spans="1:19" x14ac:dyDescent="0.3">
      <c r="A467" t="s">
        <v>1015</v>
      </c>
      <c r="B467" t="s">
        <v>7</v>
      </c>
      <c r="C467">
        <v>15</v>
      </c>
      <c r="D467">
        <v>2</v>
      </c>
      <c r="E467">
        <v>311</v>
      </c>
      <c r="F467" t="str">
        <f>IF(Estadisticas_jugador[[#This Row],[minutes_played]]&gt;900, "Si", "No")</f>
        <v>No</v>
      </c>
      <c r="G467">
        <v>0</v>
      </c>
      <c r="H467">
        <v>1</v>
      </c>
      <c r="I467">
        <v>1.2118</v>
      </c>
      <c r="J467">
        <v>4.3788319999999999E-2</v>
      </c>
      <c r="K467">
        <v>6.4642857142857002</v>
      </c>
      <c r="L467">
        <v>8</v>
      </c>
      <c r="M467">
        <v>2</v>
      </c>
      <c r="N467">
        <v>0</v>
      </c>
      <c r="O467">
        <v>0</v>
      </c>
      <c r="P467">
        <v>1</v>
      </c>
      <c r="Q467">
        <v>1</v>
      </c>
      <c r="R467">
        <f>Estadisticas_jugador[[#This Row],[tackles]]+Estadisticas_jugador[[#This Row],[interceptions]]</f>
        <v>2</v>
      </c>
      <c r="S467">
        <v>0</v>
      </c>
    </row>
    <row r="468" spans="1:19" x14ac:dyDescent="0.3">
      <c r="A468" t="s">
        <v>1016</v>
      </c>
      <c r="B468" t="s">
        <v>7</v>
      </c>
      <c r="C468">
        <v>20</v>
      </c>
      <c r="D468">
        <v>4</v>
      </c>
      <c r="E468">
        <v>622</v>
      </c>
      <c r="F468" t="str">
        <f>IF(Estadisticas_jugador[[#This Row],[minutes_played]]&gt;900, "Si", "No")</f>
        <v>No</v>
      </c>
      <c r="G468">
        <v>0</v>
      </c>
      <c r="H468">
        <v>1</v>
      </c>
      <c r="I468">
        <v>0.26379999999999998</v>
      </c>
      <c r="J468">
        <v>1.4949254700000001</v>
      </c>
      <c r="K468">
        <v>6.7789473684211004</v>
      </c>
      <c r="L468">
        <v>6</v>
      </c>
      <c r="M468">
        <v>0</v>
      </c>
      <c r="N468">
        <v>1</v>
      </c>
      <c r="O468">
        <v>1</v>
      </c>
      <c r="P468">
        <v>11</v>
      </c>
      <c r="Q468">
        <v>1</v>
      </c>
      <c r="R468">
        <f>Estadisticas_jugador[[#This Row],[tackles]]+Estadisticas_jugador[[#This Row],[interceptions]]</f>
        <v>12</v>
      </c>
      <c r="S468">
        <v>0</v>
      </c>
    </row>
    <row r="469" spans="1:19" x14ac:dyDescent="0.3">
      <c r="A469" t="s">
        <v>1017</v>
      </c>
      <c r="B469" t="s">
        <v>7</v>
      </c>
      <c r="C469">
        <v>28</v>
      </c>
      <c r="D469">
        <v>17</v>
      </c>
      <c r="E469">
        <v>1596</v>
      </c>
      <c r="F469" t="str">
        <f>IF(Estadisticas_jugador[[#This Row],[minutes_played]]&gt;900, "Si", "No")</f>
        <v>Si</v>
      </c>
      <c r="G469">
        <v>0</v>
      </c>
      <c r="H469">
        <v>3</v>
      </c>
      <c r="I469">
        <v>1.5086999999999999</v>
      </c>
      <c r="J469">
        <v>2.8956983300000001</v>
      </c>
      <c r="K469">
        <v>6.8464285714286</v>
      </c>
      <c r="L469">
        <v>30</v>
      </c>
      <c r="M469">
        <v>7</v>
      </c>
      <c r="N469">
        <v>1</v>
      </c>
      <c r="O469">
        <v>0</v>
      </c>
      <c r="P469">
        <v>30</v>
      </c>
      <c r="Q469">
        <v>6</v>
      </c>
      <c r="R469">
        <f>Estadisticas_jugador[[#This Row],[tackles]]+Estadisticas_jugador[[#This Row],[interceptions]]</f>
        <v>36</v>
      </c>
      <c r="S469">
        <v>0</v>
      </c>
    </row>
    <row r="470" spans="1:19" x14ac:dyDescent="0.3">
      <c r="A470" t="s">
        <v>1018</v>
      </c>
      <c r="B470" t="s">
        <v>7</v>
      </c>
      <c r="C470">
        <v>20</v>
      </c>
      <c r="D470">
        <v>16</v>
      </c>
      <c r="E470">
        <v>1320</v>
      </c>
      <c r="F470" t="str">
        <f>IF(Estadisticas_jugador[[#This Row],[minutes_played]]&gt;900, "Si", "No")</f>
        <v>Si</v>
      </c>
      <c r="G470">
        <v>0</v>
      </c>
      <c r="H470">
        <v>0</v>
      </c>
      <c r="I470">
        <v>0.3251</v>
      </c>
      <c r="J470">
        <v>0.18218479000000001</v>
      </c>
      <c r="K470">
        <v>6.61</v>
      </c>
      <c r="L470">
        <v>8</v>
      </c>
      <c r="M470">
        <v>2</v>
      </c>
      <c r="N470">
        <v>3</v>
      </c>
      <c r="O470">
        <v>0</v>
      </c>
      <c r="P470">
        <v>28</v>
      </c>
      <c r="Q470">
        <v>12</v>
      </c>
      <c r="R470">
        <f>Estadisticas_jugador[[#This Row],[tackles]]+Estadisticas_jugador[[#This Row],[interceptions]]</f>
        <v>40</v>
      </c>
      <c r="S470">
        <v>0</v>
      </c>
    </row>
    <row r="471" spans="1:19" x14ac:dyDescent="0.3">
      <c r="A471" t="s">
        <v>1019</v>
      </c>
      <c r="B471" t="s">
        <v>7</v>
      </c>
      <c r="C471">
        <v>27</v>
      </c>
      <c r="D471">
        <v>22</v>
      </c>
      <c r="E471">
        <v>1764</v>
      </c>
      <c r="F471" t="str">
        <f>IF(Estadisticas_jugador[[#This Row],[minutes_played]]&gt;900, "Si", "No")</f>
        <v>Si</v>
      </c>
      <c r="G471">
        <v>4</v>
      </c>
      <c r="H471">
        <v>1</v>
      </c>
      <c r="I471">
        <v>5.1167999999999996</v>
      </c>
      <c r="J471">
        <v>1.0497861900000001</v>
      </c>
      <c r="K471">
        <v>6.5481481481481003</v>
      </c>
      <c r="L471">
        <v>54</v>
      </c>
      <c r="M471">
        <v>23</v>
      </c>
      <c r="N471">
        <v>1</v>
      </c>
      <c r="O471">
        <v>1</v>
      </c>
      <c r="P471">
        <v>39</v>
      </c>
      <c r="Q471">
        <v>5</v>
      </c>
      <c r="R471">
        <f>Estadisticas_jugador[[#This Row],[tackles]]+Estadisticas_jugador[[#This Row],[interceptions]]</f>
        <v>44</v>
      </c>
      <c r="S471">
        <v>0</v>
      </c>
    </row>
    <row r="472" spans="1:19" x14ac:dyDescent="0.3">
      <c r="A472" t="s">
        <v>1020</v>
      </c>
      <c r="B472" t="s">
        <v>7</v>
      </c>
      <c r="C472">
        <v>19</v>
      </c>
      <c r="D472">
        <v>15</v>
      </c>
      <c r="E472">
        <v>1339</v>
      </c>
      <c r="F472" t="str">
        <f>IF(Estadisticas_jugador[[#This Row],[minutes_played]]&gt;900, "Si", "No")</f>
        <v>Si</v>
      </c>
      <c r="G472">
        <v>1</v>
      </c>
      <c r="H472">
        <v>0</v>
      </c>
      <c r="I472">
        <v>0.80469999999999997</v>
      </c>
      <c r="J472">
        <v>0.46455552999999999</v>
      </c>
      <c r="K472">
        <v>6.7611111111111004</v>
      </c>
      <c r="L472">
        <v>9</v>
      </c>
      <c r="M472">
        <v>4</v>
      </c>
      <c r="N472">
        <v>2</v>
      </c>
      <c r="O472">
        <v>0</v>
      </c>
      <c r="P472">
        <v>36</v>
      </c>
      <c r="Q472">
        <v>12</v>
      </c>
      <c r="R472">
        <f>Estadisticas_jugador[[#This Row],[tackles]]+Estadisticas_jugador[[#This Row],[interceptions]]</f>
        <v>48</v>
      </c>
      <c r="S472">
        <v>0</v>
      </c>
    </row>
    <row r="473" spans="1:19" x14ac:dyDescent="0.3">
      <c r="A473" t="s">
        <v>1021</v>
      </c>
      <c r="B473" t="s">
        <v>7</v>
      </c>
      <c r="C473">
        <v>8</v>
      </c>
      <c r="D473">
        <v>3</v>
      </c>
      <c r="E473">
        <v>326</v>
      </c>
      <c r="F473" t="str">
        <f>IF(Estadisticas_jugador[[#This Row],[minutes_played]]&gt;900, "Si", "No")</f>
        <v>No</v>
      </c>
      <c r="G473">
        <v>0</v>
      </c>
      <c r="H473">
        <v>3</v>
      </c>
      <c r="I473">
        <v>0.33650000000000002</v>
      </c>
      <c r="J473">
        <v>1.45319182</v>
      </c>
      <c r="K473">
        <v>6.6124999999999998</v>
      </c>
      <c r="L473">
        <v>6</v>
      </c>
      <c r="M473">
        <v>2</v>
      </c>
      <c r="N473">
        <v>2</v>
      </c>
      <c r="O473">
        <v>0</v>
      </c>
      <c r="P473">
        <v>5</v>
      </c>
      <c r="Q473">
        <v>3</v>
      </c>
      <c r="R473">
        <f>Estadisticas_jugador[[#This Row],[tackles]]+Estadisticas_jugador[[#This Row],[interceptions]]</f>
        <v>8</v>
      </c>
      <c r="S473">
        <v>0</v>
      </c>
    </row>
    <row r="474" spans="1:19" x14ac:dyDescent="0.3">
      <c r="A474" t="s">
        <v>1022</v>
      </c>
      <c r="B474" t="s">
        <v>7</v>
      </c>
      <c r="C474">
        <v>18</v>
      </c>
      <c r="D474">
        <v>8</v>
      </c>
      <c r="E474">
        <v>729</v>
      </c>
      <c r="F474" t="str">
        <f>IF(Estadisticas_jugador[[#This Row],[minutes_played]]&gt;900, "Si", "No")</f>
        <v>No</v>
      </c>
      <c r="G474">
        <v>1</v>
      </c>
      <c r="H474">
        <v>0</v>
      </c>
      <c r="I474">
        <v>0.69240000000000002</v>
      </c>
      <c r="J474">
        <v>0.51986414999999997</v>
      </c>
      <c r="K474">
        <v>6.4444444444444002</v>
      </c>
      <c r="L474">
        <v>9</v>
      </c>
      <c r="M474">
        <v>5</v>
      </c>
      <c r="N474">
        <v>2</v>
      </c>
      <c r="O474">
        <v>1</v>
      </c>
      <c r="P474">
        <v>10</v>
      </c>
      <c r="Q474">
        <v>5</v>
      </c>
      <c r="R474">
        <f>Estadisticas_jugador[[#This Row],[tackles]]+Estadisticas_jugador[[#This Row],[interceptions]]</f>
        <v>15</v>
      </c>
      <c r="S474">
        <v>0</v>
      </c>
    </row>
    <row r="475" spans="1:19" x14ac:dyDescent="0.3">
      <c r="A475" t="s">
        <v>1023</v>
      </c>
      <c r="B475" t="s">
        <v>7</v>
      </c>
      <c r="C475">
        <v>12</v>
      </c>
      <c r="D475">
        <v>5</v>
      </c>
      <c r="E475">
        <v>510</v>
      </c>
      <c r="F475" t="str">
        <f>IF(Estadisticas_jugador[[#This Row],[minutes_played]]&gt;900, "Si", "No")</f>
        <v>No</v>
      </c>
      <c r="G475">
        <v>0</v>
      </c>
      <c r="H475">
        <v>0</v>
      </c>
      <c r="I475">
        <v>0.2341</v>
      </c>
      <c r="J475">
        <v>0.24016388999999999</v>
      </c>
      <c r="K475">
        <v>6.6833333333332998</v>
      </c>
      <c r="L475">
        <v>5</v>
      </c>
      <c r="M475">
        <v>1</v>
      </c>
      <c r="N475">
        <v>3</v>
      </c>
      <c r="O475">
        <v>0</v>
      </c>
      <c r="P475">
        <v>26</v>
      </c>
      <c r="Q475">
        <v>10</v>
      </c>
      <c r="R475">
        <f>Estadisticas_jugador[[#This Row],[tackles]]+Estadisticas_jugador[[#This Row],[interceptions]]</f>
        <v>36</v>
      </c>
      <c r="S475">
        <v>0</v>
      </c>
    </row>
    <row r="476" spans="1:19" x14ac:dyDescent="0.3">
      <c r="A476" t="s">
        <v>1024</v>
      </c>
      <c r="B476" t="s">
        <v>7</v>
      </c>
      <c r="C476">
        <v>24</v>
      </c>
      <c r="D476">
        <v>18</v>
      </c>
      <c r="E476">
        <v>1635</v>
      </c>
      <c r="F476" t="str">
        <f>IF(Estadisticas_jugador[[#This Row],[minutes_played]]&gt;900, "Si", "No")</f>
        <v>Si</v>
      </c>
      <c r="G476">
        <v>0</v>
      </c>
      <c r="H476">
        <v>1</v>
      </c>
      <c r="I476">
        <v>0.50380000000000003</v>
      </c>
      <c r="J476">
        <v>1.5093363900000001</v>
      </c>
      <c r="K476">
        <v>6.7826086956521996</v>
      </c>
      <c r="L476">
        <v>12</v>
      </c>
      <c r="M476">
        <v>2</v>
      </c>
      <c r="N476">
        <v>6</v>
      </c>
      <c r="O476">
        <v>0</v>
      </c>
      <c r="P476">
        <v>35</v>
      </c>
      <c r="Q476">
        <v>14</v>
      </c>
      <c r="R476">
        <f>Estadisticas_jugador[[#This Row],[tackles]]+Estadisticas_jugador[[#This Row],[interceptions]]</f>
        <v>49</v>
      </c>
      <c r="S476">
        <v>0</v>
      </c>
    </row>
    <row r="477" spans="1:19" x14ac:dyDescent="0.3">
      <c r="A477" t="s">
        <v>1025</v>
      </c>
      <c r="B477" t="s">
        <v>7</v>
      </c>
      <c r="C477">
        <v>28</v>
      </c>
      <c r="D477">
        <v>22</v>
      </c>
      <c r="E477">
        <v>1729</v>
      </c>
      <c r="F477" t="str">
        <f>IF(Estadisticas_jugador[[#This Row],[minutes_played]]&gt;900, "Si", "No")</f>
        <v>Si</v>
      </c>
      <c r="G477">
        <v>3</v>
      </c>
      <c r="H477">
        <v>0</v>
      </c>
      <c r="I477">
        <v>2.5175999999999998</v>
      </c>
      <c r="J477">
        <v>1.54709097</v>
      </c>
      <c r="K477">
        <v>6.6607142857142998</v>
      </c>
      <c r="L477">
        <v>16</v>
      </c>
      <c r="M477">
        <v>7</v>
      </c>
      <c r="N477">
        <v>4</v>
      </c>
      <c r="O477">
        <v>1</v>
      </c>
      <c r="P477">
        <v>30</v>
      </c>
      <c r="Q477">
        <v>10</v>
      </c>
      <c r="R477">
        <f>Estadisticas_jugador[[#This Row],[tackles]]+Estadisticas_jugador[[#This Row],[interceptions]]</f>
        <v>40</v>
      </c>
      <c r="S477">
        <v>0</v>
      </c>
    </row>
    <row r="478" spans="1:19" x14ac:dyDescent="0.3">
      <c r="A478" t="s">
        <v>1026</v>
      </c>
      <c r="B478" t="s">
        <v>7</v>
      </c>
      <c r="C478">
        <v>7</v>
      </c>
      <c r="D478">
        <v>2</v>
      </c>
      <c r="E478">
        <v>177</v>
      </c>
      <c r="F478" t="str">
        <f>IF(Estadisticas_jugador[[#This Row],[minutes_played]]&gt;900, "Si", "No")</f>
        <v>No</v>
      </c>
      <c r="G478">
        <v>0</v>
      </c>
      <c r="H478">
        <v>0</v>
      </c>
      <c r="I478">
        <v>0.1386</v>
      </c>
      <c r="J478">
        <v>0.39773398999999998</v>
      </c>
      <c r="K478">
        <v>6.6571428571429001</v>
      </c>
      <c r="L478">
        <v>3</v>
      </c>
      <c r="M478">
        <v>1</v>
      </c>
      <c r="N478">
        <v>1</v>
      </c>
      <c r="O478">
        <v>0</v>
      </c>
      <c r="P478">
        <v>4</v>
      </c>
      <c r="Q478">
        <v>2</v>
      </c>
      <c r="R478">
        <f>Estadisticas_jugador[[#This Row],[tackles]]+Estadisticas_jugador[[#This Row],[interceptions]]</f>
        <v>6</v>
      </c>
      <c r="S478">
        <v>0</v>
      </c>
    </row>
    <row r="479" spans="1:19" x14ac:dyDescent="0.3">
      <c r="A479" t="s">
        <v>1027</v>
      </c>
      <c r="B479" t="s">
        <v>7</v>
      </c>
      <c r="C479">
        <v>5</v>
      </c>
      <c r="D479">
        <v>0</v>
      </c>
      <c r="E479">
        <v>81</v>
      </c>
      <c r="F479" t="str">
        <f>IF(Estadisticas_jugador[[#This Row],[minutes_played]]&gt;900, "Si", "No")</f>
        <v>No</v>
      </c>
      <c r="G479">
        <v>0</v>
      </c>
      <c r="H479">
        <v>0</v>
      </c>
      <c r="I479">
        <v>3.5200000000000002E-2</v>
      </c>
      <c r="J479">
        <v>1.34307E-3</v>
      </c>
      <c r="K479">
        <v>6.36</v>
      </c>
      <c r="L479">
        <v>2</v>
      </c>
      <c r="M479">
        <v>0</v>
      </c>
      <c r="N479">
        <v>0</v>
      </c>
      <c r="O479">
        <v>0</v>
      </c>
      <c r="P479">
        <v>1</v>
      </c>
      <c r="Q479">
        <v>0</v>
      </c>
      <c r="R479">
        <f>Estadisticas_jugador[[#This Row],[tackles]]+Estadisticas_jugador[[#This Row],[interceptions]]</f>
        <v>1</v>
      </c>
      <c r="S479">
        <v>0</v>
      </c>
    </row>
    <row r="480" spans="1:19" x14ac:dyDescent="0.3">
      <c r="A480" t="s">
        <v>1028</v>
      </c>
      <c r="B480" t="s">
        <v>7</v>
      </c>
      <c r="C480">
        <v>9</v>
      </c>
      <c r="D480">
        <v>9</v>
      </c>
      <c r="E480">
        <v>774</v>
      </c>
      <c r="F480" t="str">
        <f>IF(Estadisticas_jugador[[#This Row],[minutes_played]]&gt;900, "Si", "No")</f>
        <v>No</v>
      </c>
      <c r="G480">
        <v>1</v>
      </c>
      <c r="H480">
        <v>0</v>
      </c>
      <c r="I480">
        <v>0.28770000000000001</v>
      </c>
      <c r="J480">
        <v>0.19435442999999999</v>
      </c>
      <c r="K480">
        <v>6.9222222222222003</v>
      </c>
      <c r="L480">
        <v>4</v>
      </c>
      <c r="M480">
        <v>1</v>
      </c>
      <c r="N480">
        <v>2</v>
      </c>
      <c r="O480">
        <v>0</v>
      </c>
      <c r="P480">
        <v>5</v>
      </c>
      <c r="Q480">
        <v>10</v>
      </c>
      <c r="R480">
        <f>Estadisticas_jugador[[#This Row],[tackles]]+Estadisticas_jugador[[#This Row],[interceptions]]</f>
        <v>15</v>
      </c>
      <c r="S480">
        <v>0</v>
      </c>
    </row>
    <row r="481" spans="1:19" x14ac:dyDescent="0.3">
      <c r="A481" t="s">
        <v>1029</v>
      </c>
      <c r="B481" t="s">
        <v>7</v>
      </c>
      <c r="C481">
        <v>20</v>
      </c>
      <c r="D481">
        <v>15</v>
      </c>
      <c r="E481">
        <v>1439</v>
      </c>
      <c r="F481" t="str">
        <f>IF(Estadisticas_jugador[[#This Row],[minutes_played]]&gt;900, "Si", "No")</f>
        <v>Si</v>
      </c>
      <c r="G481">
        <v>0</v>
      </c>
      <c r="H481">
        <v>0</v>
      </c>
      <c r="I481">
        <v>4.1399999999999999E-2</v>
      </c>
      <c r="J481">
        <v>0.80807909</v>
      </c>
      <c r="K481">
        <v>6.6473684210526001</v>
      </c>
      <c r="L481">
        <v>2</v>
      </c>
      <c r="M481">
        <v>0</v>
      </c>
      <c r="N481">
        <v>1</v>
      </c>
      <c r="O481">
        <v>0</v>
      </c>
      <c r="P481">
        <v>31</v>
      </c>
      <c r="Q481">
        <v>24</v>
      </c>
      <c r="R481">
        <f>Estadisticas_jugador[[#This Row],[tackles]]+Estadisticas_jugador[[#This Row],[interceptions]]</f>
        <v>55</v>
      </c>
      <c r="S481">
        <v>0</v>
      </c>
    </row>
    <row r="482" spans="1:19" x14ac:dyDescent="0.3">
      <c r="A482" t="s">
        <v>1030</v>
      </c>
      <c r="B482" t="s">
        <v>7</v>
      </c>
      <c r="C482">
        <v>21</v>
      </c>
      <c r="D482">
        <v>19</v>
      </c>
      <c r="E482">
        <v>1722</v>
      </c>
      <c r="F482" t="str">
        <f>IF(Estadisticas_jugador[[#This Row],[minutes_played]]&gt;900, "Si", "No")</f>
        <v>Si</v>
      </c>
      <c r="G482">
        <v>1</v>
      </c>
      <c r="H482">
        <v>0</v>
      </c>
      <c r="I482">
        <v>0.90590000000000004</v>
      </c>
      <c r="J482">
        <v>0.47294113999999998</v>
      </c>
      <c r="K482">
        <v>6.7904761904762001</v>
      </c>
      <c r="L482">
        <v>10</v>
      </c>
      <c r="M482">
        <v>3</v>
      </c>
      <c r="N482">
        <v>6</v>
      </c>
      <c r="O482">
        <v>1</v>
      </c>
      <c r="P482">
        <v>32</v>
      </c>
      <c r="Q482">
        <v>21</v>
      </c>
      <c r="R482">
        <f>Estadisticas_jugador[[#This Row],[tackles]]+Estadisticas_jugador[[#This Row],[interceptions]]</f>
        <v>53</v>
      </c>
      <c r="S482">
        <v>0</v>
      </c>
    </row>
    <row r="483" spans="1:19" x14ac:dyDescent="0.3">
      <c r="A483" t="s">
        <v>1031</v>
      </c>
      <c r="B483" t="s">
        <v>7</v>
      </c>
      <c r="C483">
        <v>17</v>
      </c>
      <c r="D483">
        <v>14</v>
      </c>
      <c r="E483">
        <v>1190</v>
      </c>
      <c r="F483" t="str">
        <f>IF(Estadisticas_jugador[[#This Row],[minutes_played]]&gt;900, "Si", "No")</f>
        <v>Si</v>
      </c>
      <c r="G483">
        <v>0</v>
      </c>
      <c r="H483">
        <v>1</v>
      </c>
      <c r="I483">
        <v>0.1381</v>
      </c>
      <c r="J483">
        <v>0.78363897999999999</v>
      </c>
      <c r="K483">
        <v>6.5882352941175997</v>
      </c>
      <c r="L483">
        <v>5</v>
      </c>
      <c r="M483">
        <v>0</v>
      </c>
      <c r="N483">
        <v>2</v>
      </c>
      <c r="O483">
        <v>0</v>
      </c>
      <c r="P483">
        <v>34</v>
      </c>
      <c r="Q483">
        <v>14</v>
      </c>
      <c r="R483">
        <f>Estadisticas_jugador[[#This Row],[tackles]]+Estadisticas_jugador[[#This Row],[interceptions]]</f>
        <v>48</v>
      </c>
      <c r="S483">
        <v>0</v>
      </c>
    </row>
    <row r="484" spans="1:19" x14ac:dyDescent="0.3">
      <c r="A484" t="s">
        <v>1032</v>
      </c>
      <c r="B484" t="s">
        <v>7</v>
      </c>
      <c r="C484">
        <v>20</v>
      </c>
      <c r="D484">
        <v>19</v>
      </c>
      <c r="E484">
        <v>1585</v>
      </c>
      <c r="F484" t="str">
        <f>IF(Estadisticas_jugador[[#This Row],[minutes_played]]&gt;900, "Si", "No")</f>
        <v>Si</v>
      </c>
      <c r="G484">
        <v>0</v>
      </c>
      <c r="H484">
        <v>0</v>
      </c>
      <c r="I484">
        <v>1.2284999999999999</v>
      </c>
      <c r="J484">
        <v>0.56153774999999995</v>
      </c>
      <c r="K484">
        <v>6.66</v>
      </c>
      <c r="L484">
        <v>9</v>
      </c>
      <c r="M484">
        <v>3</v>
      </c>
      <c r="N484">
        <v>4</v>
      </c>
      <c r="O484">
        <v>0</v>
      </c>
      <c r="P484">
        <v>37</v>
      </c>
      <c r="Q484">
        <v>21</v>
      </c>
      <c r="R484">
        <f>Estadisticas_jugador[[#This Row],[tackles]]+Estadisticas_jugador[[#This Row],[interceptions]]</f>
        <v>58</v>
      </c>
      <c r="S484">
        <v>0</v>
      </c>
    </row>
    <row r="485" spans="1:19" x14ac:dyDescent="0.3">
      <c r="A485" t="s">
        <v>1033</v>
      </c>
      <c r="B485" t="s">
        <v>7</v>
      </c>
      <c r="C485">
        <v>19</v>
      </c>
      <c r="D485">
        <v>18</v>
      </c>
      <c r="E485">
        <v>1621</v>
      </c>
      <c r="F485" t="str">
        <f>IF(Estadisticas_jugador[[#This Row],[minutes_played]]&gt;900, "Si", "No")</f>
        <v>Si</v>
      </c>
      <c r="G485">
        <v>1</v>
      </c>
      <c r="H485">
        <v>0</v>
      </c>
      <c r="I485">
        <v>0.68259999999999998</v>
      </c>
      <c r="J485">
        <v>0.17317350000000001</v>
      </c>
      <c r="K485">
        <v>6.8315789473684001</v>
      </c>
      <c r="L485">
        <v>2</v>
      </c>
      <c r="M485">
        <v>1</v>
      </c>
      <c r="N485">
        <v>2</v>
      </c>
      <c r="O485">
        <v>0</v>
      </c>
      <c r="P485">
        <v>24</v>
      </c>
      <c r="Q485">
        <v>23</v>
      </c>
      <c r="R485">
        <f>Estadisticas_jugador[[#This Row],[tackles]]+Estadisticas_jugador[[#This Row],[interceptions]]</f>
        <v>47</v>
      </c>
      <c r="S485">
        <v>0</v>
      </c>
    </row>
    <row r="486" spans="1:19" x14ac:dyDescent="0.3">
      <c r="A486" t="s">
        <v>1034</v>
      </c>
      <c r="B486" t="s">
        <v>7</v>
      </c>
      <c r="C486">
        <v>13</v>
      </c>
      <c r="D486">
        <v>10</v>
      </c>
      <c r="E486">
        <v>987</v>
      </c>
      <c r="F486" t="str">
        <f>IF(Estadisticas_jugador[[#This Row],[minutes_played]]&gt;900, "Si", "No")</f>
        <v>Si</v>
      </c>
      <c r="G486">
        <v>0</v>
      </c>
      <c r="H486">
        <v>0</v>
      </c>
      <c r="J486">
        <v>0.15477146999999999</v>
      </c>
      <c r="K486">
        <v>6.9076923076923</v>
      </c>
      <c r="L486">
        <v>0</v>
      </c>
      <c r="M486">
        <v>0</v>
      </c>
      <c r="N486">
        <v>3</v>
      </c>
      <c r="O486">
        <v>0</v>
      </c>
      <c r="P486">
        <v>14</v>
      </c>
      <c r="Q486">
        <v>6</v>
      </c>
      <c r="R486">
        <f>Estadisticas_jugador[[#This Row],[tackles]]+Estadisticas_jugador[[#This Row],[interceptions]]</f>
        <v>20</v>
      </c>
      <c r="S486">
        <v>0</v>
      </c>
    </row>
    <row r="487" spans="1:19" x14ac:dyDescent="0.3">
      <c r="A487" t="s">
        <v>1035</v>
      </c>
      <c r="B487" t="s">
        <v>7</v>
      </c>
      <c r="C487">
        <v>15</v>
      </c>
      <c r="D487">
        <v>10</v>
      </c>
      <c r="E487">
        <v>968</v>
      </c>
      <c r="F487" t="str">
        <f>IF(Estadisticas_jugador[[#This Row],[minutes_played]]&gt;900, "Si", "No")</f>
        <v>Si</v>
      </c>
      <c r="G487">
        <v>0</v>
      </c>
      <c r="H487">
        <v>1</v>
      </c>
      <c r="I487">
        <v>0.92159999999999997</v>
      </c>
      <c r="J487">
        <v>1.0862571000000001</v>
      </c>
      <c r="K487">
        <v>6.7466666666666999</v>
      </c>
      <c r="L487">
        <v>8</v>
      </c>
      <c r="M487">
        <v>2</v>
      </c>
      <c r="N487">
        <v>2</v>
      </c>
      <c r="O487">
        <v>0</v>
      </c>
      <c r="P487">
        <v>44</v>
      </c>
      <c r="Q487">
        <v>15</v>
      </c>
      <c r="R487">
        <f>Estadisticas_jugador[[#This Row],[tackles]]+Estadisticas_jugador[[#This Row],[interceptions]]</f>
        <v>59</v>
      </c>
      <c r="S487">
        <v>0</v>
      </c>
    </row>
    <row r="488" spans="1:19" x14ac:dyDescent="0.3">
      <c r="A488" t="s">
        <v>1036</v>
      </c>
      <c r="B488" t="s">
        <v>7</v>
      </c>
      <c r="C488">
        <v>29</v>
      </c>
      <c r="D488">
        <v>29</v>
      </c>
      <c r="E488">
        <v>2610</v>
      </c>
      <c r="F488" t="str">
        <f>IF(Estadisticas_jugador[[#This Row],[minutes_played]]&gt;900, "Si", "No")</f>
        <v>Si</v>
      </c>
      <c r="G488">
        <v>0</v>
      </c>
      <c r="H488">
        <v>0</v>
      </c>
      <c r="J488">
        <v>8.4956379999999998E-2</v>
      </c>
      <c r="K488">
        <v>7.2379310344828003</v>
      </c>
      <c r="L488">
        <v>0</v>
      </c>
      <c r="M488">
        <v>0</v>
      </c>
      <c r="N488">
        <v>2</v>
      </c>
      <c r="O488">
        <v>0</v>
      </c>
      <c r="P488">
        <v>0</v>
      </c>
      <c r="Q488">
        <v>0</v>
      </c>
      <c r="R488">
        <f>Estadisticas_jugador[[#This Row],[tackles]]+Estadisticas_jugador[[#This Row],[interceptions]]</f>
        <v>0</v>
      </c>
      <c r="S488">
        <v>127</v>
      </c>
    </row>
  </sheetData>
  <dataConsolidate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493C2-A5BD-4111-BB22-ED90C0DB29E7}">
  <dimension ref="A1:A8"/>
  <sheetViews>
    <sheetView topLeftCell="A2" workbookViewId="0">
      <selection activeCell="A9" sqref="A9"/>
    </sheetView>
  </sheetViews>
  <sheetFormatPr baseColWidth="10" defaultRowHeight="14.4" x14ac:dyDescent="0.3"/>
  <cols>
    <col min="1" max="1" width="27.44140625" customWidth="1"/>
  </cols>
  <sheetData>
    <row r="1" spans="1:1" x14ac:dyDescent="0.3">
      <c r="A1" s="2" t="s">
        <v>1045</v>
      </c>
    </row>
    <row r="2" spans="1:1" ht="72" x14ac:dyDescent="0.3">
      <c r="A2" s="1" t="s">
        <v>1041</v>
      </c>
    </row>
    <row r="3" spans="1:1" ht="86.4" x14ac:dyDescent="0.3">
      <c r="A3" s="1" t="s">
        <v>1042</v>
      </c>
    </row>
    <row r="4" spans="1:1" ht="57.6" x14ac:dyDescent="0.3">
      <c r="A4" s="1" t="s">
        <v>1043</v>
      </c>
    </row>
    <row r="5" spans="1:1" ht="100.8" x14ac:dyDescent="0.3">
      <c r="A5" s="1" t="s">
        <v>1044</v>
      </c>
    </row>
    <row r="6" spans="1:1" ht="43.2" x14ac:dyDescent="0.3">
      <c r="A6" s="1" t="s">
        <v>1046</v>
      </c>
    </row>
    <row r="7" spans="1:1" ht="57.6" x14ac:dyDescent="0.3">
      <c r="A7" s="1" t="s">
        <v>1057</v>
      </c>
    </row>
    <row r="8" spans="1:1" ht="28.8" x14ac:dyDescent="0.3">
      <c r="A8" s="1" t="s">
        <v>1062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0D324-32F8-46CE-9498-2F7B034A9729}">
  <dimension ref="A3:K55"/>
  <sheetViews>
    <sheetView workbookViewId="0">
      <selection activeCell="I16" sqref="I16"/>
    </sheetView>
  </sheetViews>
  <sheetFormatPr baseColWidth="10" defaultRowHeight="14.4" x14ac:dyDescent="0.3"/>
  <cols>
    <col min="1" max="1" width="15.44140625" bestFit="1" customWidth="1"/>
    <col min="2" max="2" width="12.109375" bestFit="1" customWidth="1"/>
    <col min="3" max="3" width="14.77734375" bestFit="1" customWidth="1"/>
    <col min="4" max="4" width="24.33203125" bestFit="1" customWidth="1"/>
    <col min="5" max="5" width="13.88671875" bestFit="1" customWidth="1"/>
    <col min="6" max="6" width="18" bestFit="1" customWidth="1"/>
    <col min="7" max="7" width="22" bestFit="1" customWidth="1"/>
    <col min="8" max="8" width="14.109375" bestFit="1" customWidth="1"/>
    <col min="9" max="9" width="13.21875" bestFit="1" customWidth="1"/>
    <col min="10" max="10" width="8.33203125" bestFit="1" customWidth="1"/>
    <col min="11" max="11" width="24.33203125" bestFit="1" customWidth="1"/>
  </cols>
  <sheetData>
    <row r="3" spans="1:11" x14ac:dyDescent="0.3">
      <c r="A3" s="3" t="s">
        <v>1051</v>
      </c>
      <c r="B3" t="s">
        <v>1049</v>
      </c>
      <c r="C3" t="s">
        <v>1050</v>
      </c>
      <c r="E3" s="3" t="s">
        <v>1052</v>
      </c>
      <c r="F3" t="s">
        <v>1061</v>
      </c>
      <c r="H3" s="3" t="s">
        <v>1052</v>
      </c>
      <c r="I3" t="s">
        <v>1065</v>
      </c>
      <c r="J3" t="s">
        <v>1064</v>
      </c>
      <c r="K3" t="s">
        <v>1066</v>
      </c>
    </row>
    <row r="4" spans="1:11" x14ac:dyDescent="0.3">
      <c r="A4" s="4" t="s">
        <v>1039</v>
      </c>
      <c r="B4" s="5">
        <v>8.1619668397790051</v>
      </c>
      <c r="C4" s="5">
        <v>6.7469834698278195</v>
      </c>
      <c r="E4" s="4" t="s">
        <v>10</v>
      </c>
      <c r="F4" s="5">
        <v>215</v>
      </c>
      <c r="H4" s="4" t="s">
        <v>183</v>
      </c>
      <c r="I4" s="5">
        <v>37</v>
      </c>
      <c r="J4" s="5">
        <v>86</v>
      </c>
      <c r="K4" s="5">
        <v>123</v>
      </c>
    </row>
    <row r="5" spans="1:11" x14ac:dyDescent="0.3">
      <c r="A5" s="4" t="s">
        <v>1037</v>
      </c>
      <c r="B5" s="5">
        <v>12.943707831460673</v>
      </c>
      <c r="C5" s="5">
        <v>6.7314943014699082</v>
      </c>
      <c r="E5" s="4" t="s">
        <v>34</v>
      </c>
      <c r="F5" s="5">
        <v>212</v>
      </c>
      <c r="H5" s="4" t="s">
        <v>385</v>
      </c>
      <c r="I5" s="5">
        <v>44</v>
      </c>
      <c r="J5" s="5">
        <v>74</v>
      </c>
      <c r="K5" s="5">
        <v>118</v>
      </c>
    </row>
    <row r="6" spans="1:11" x14ac:dyDescent="0.3">
      <c r="A6" s="4" t="s">
        <v>1038</v>
      </c>
      <c r="B6" s="5">
        <v>13.606344802955665</v>
      </c>
      <c r="C6" s="5">
        <v>6.7709178781490404</v>
      </c>
      <c r="E6" s="4" t="s">
        <v>35</v>
      </c>
      <c r="F6" s="5">
        <v>156</v>
      </c>
      <c r="H6" s="4" t="s">
        <v>213</v>
      </c>
      <c r="I6" s="5">
        <v>17</v>
      </c>
      <c r="J6" s="5">
        <v>94</v>
      </c>
      <c r="K6" s="5">
        <v>111</v>
      </c>
    </row>
    <row r="7" spans="1:11" x14ac:dyDescent="0.3">
      <c r="A7" s="4" t="s">
        <v>1040</v>
      </c>
      <c r="B7" s="5">
        <v>4.2623684210526314</v>
      </c>
      <c r="C7" s="5">
        <v>7.057152410096406</v>
      </c>
      <c r="E7" s="4" t="s">
        <v>12</v>
      </c>
      <c r="F7" s="5">
        <v>153</v>
      </c>
      <c r="H7" s="4" t="s">
        <v>285</v>
      </c>
      <c r="I7" s="5">
        <v>30</v>
      </c>
      <c r="J7" s="5">
        <v>76</v>
      </c>
      <c r="K7" s="5">
        <v>106</v>
      </c>
    </row>
    <row r="8" spans="1:11" x14ac:dyDescent="0.3">
      <c r="A8" s="4" t="s">
        <v>1048</v>
      </c>
      <c r="B8" s="5">
        <v>10.630847150943397</v>
      </c>
      <c r="C8" s="5">
        <v>6.7743454955547655</v>
      </c>
      <c r="E8" s="4" t="s">
        <v>39</v>
      </c>
      <c r="F8" s="5">
        <v>132</v>
      </c>
      <c r="H8" s="4" t="s">
        <v>74</v>
      </c>
      <c r="I8" s="5">
        <v>25</v>
      </c>
      <c r="J8" s="5">
        <v>80</v>
      </c>
      <c r="K8" s="5">
        <v>105</v>
      </c>
    </row>
    <row r="9" spans="1:11" x14ac:dyDescent="0.3">
      <c r="E9" s="4" t="s">
        <v>1048</v>
      </c>
      <c r="F9" s="5">
        <v>868</v>
      </c>
      <c r="H9" s="4" t="s">
        <v>1048</v>
      </c>
      <c r="I9" s="5">
        <v>153</v>
      </c>
      <c r="J9" s="5">
        <v>410</v>
      </c>
      <c r="K9" s="5">
        <v>563</v>
      </c>
    </row>
    <row r="12" spans="1:11" x14ac:dyDescent="0.3">
      <c r="A12" s="3" t="s">
        <v>1052</v>
      </c>
      <c r="B12" t="s">
        <v>1053</v>
      </c>
      <c r="C12" t="s">
        <v>1054</v>
      </c>
      <c r="E12" s="3" t="s">
        <v>1069</v>
      </c>
      <c r="F12" t="s" vm="1">
        <v>1059</v>
      </c>
      <c r="H12" s="3" t="s">
        <v>1068</v>
      </c>
      <c r="I12" t="s" vm="2">
        <v>1060</v>
      </c>
    </row>
    <row r="13" spans="1:11" x14ac:dyDescent="0.3">
      <c r="A13" s="4" t="s">
        <v>34</v>
      </c>
      <c r="B13" s="5">
        <v>23</v>
      </c>
      <c r="C13" s="5">
        <v>20.800699999999999</v>
      </c>
    </row>
    <row r="14" spans="1:11" x14ac:dyDescent="0.3">
      <c r="A14" s="4" t="s">
        <v>457</v>
      </c>
      <c r="B14" s="5">
        <v>18</v>
      </c>
      <c r="C14" s="5">
        <v>14.42</v>
      </c>
      <c r="E14" s="3" t="s">
        <v>1052</v>
      </c>
      <c r="F14" t="s">
        <v>1050</v>
      </c>
      <c r="H14" s="3" t="s">
        <v>1052</v>
      </c>
      <c r="I14" t="s">
        <v>1067</v>
      </c>
    </row>
    <row r="15" spans="1:11" x14ac:dyDescent="0.3">
      <c r="A15" s="4" t="s">
        <v>10</v>
      </c>
      <c r="B15" s="5">
        <v>14</v>
      </c>
      <c r="C15" s="5">
        <v>10.0974</v>
      </c>
      <c r="E15" s="4" t="s">
        <v>10</v>
      </c>
      <c r="F15" s="5">
        <v>7.8840000000000003</v>
      </c>
      <c r="H15" s="4" t="s">
        <v>534</v>
      </c>
      <c r="I15" s="5">
        <v>127</v>
      </c>
    </row>
    <row r="16" spans="1:11" x14ac:dyDescent="0.3">
      <c r="A16" s="4" t="s">
        <v>250</v>
      </c>
      <c r="B16" s="5">
        <v>14</v>
      </c>
      <c r="C16" s="5">
        <v>11.367000000000001</v>
      </c>
      <c r="E16" s="4" t="s">
        <v>34</v>
      </c>
      <c r="F16" s="5">
        <v>7.7708333333333002</v>
      </c>
      <c r="H16" s="4" t="s">
        <v>506</v>
      </c>
      <c r="I16" s="5">
        <v>100</v>
      </c>
    </row>
    <row r="17" spans="1:9" x14ac:dyDescent="0.3">
      <c r="A17" s="4" t="s">
        <v>8</v>
      </c>
      <c r="B17" s="5">
        <v>12</v>
      </c>
      <c r="C17" s="5">
        <v>11.570600000000001</v>
      </c>
      <c r="E17" s="4" t="s">
        <v>12</v>
      </c>
      <c r="F17" s="5">
        <v>7.5666666666667002</v>
      </c>
      <c r="H17" s="4" t="s">
        <v>348</v>
      </c>
      <c r="I17" s="5">
        <v>97</v>
      </c>
    </row>
    <row r="18" spans="1:9" x14ac:dyDescent="0.3">
      <c r="A18" s="4" t="s">
        <v>1048</v>
      </c>
      <c r="B18" s="5">
        <v>81</v>
      </c>
      <c r="C18" s="5">
        <v>68.255700000000004</v>
      </c>
      <c r="E18" s="4" t="s">
        <v>11</v>
      </c>
      <c r="F18" s="5">
        <v>7.45</v>
      </c>
      <c r="H18" s="4" t="s">
        <v>270</v>
      </c>
      <c r="I18" s="5">
        <v>96</v>
      </c>
    </row>
    <row r="19" spans="1:9" x14ac:dyDescent="0.3">
      <c r="E19" s="4" t="s">
        <v>31</v>
      </c>
      <c r="F19" s="5">
        <v>7.4478260869564998</v>
      </c>
      <c r="H19" s="4" t="s">
        <v>293</v>
      </c>
      <c r="I19" s="5">
        <v>96</v>
      </c>
    </row>
    <row r="20" spans="1:9" x14ac:dyDescent="0.3">
      <c r="E20" s="4" t="s">
        <v>1048</v>
      </c>
      <c r="F20" s="5">
        <v>7.6238652173913009</v>
      </c>
      <c r="H20" s="4" t="s">
        <v>1048</v>
      </c>
      <c r="I20" s="5">
        <v>516</v>
      </c>
    </row>
    <row r="21" spans="1:9" x14ac:dyDescent="0.3">
      <c r="A21" s="3" t="s">
        <v>1052</v>
      </c>
      <c r="B21" t="s">
        <v>1055</v>
      </c>
      <c r="C21" t="s">
        <v>1056</v>
      </c>
    </row>
    <row r="22" spans="1:9" x14ac:dyDescent="0.3">
      <c r="A22" s="4" t="s">
        <v>199</v>
      </c>
      <c r="B22" s="5">
        <v>9</v>
      </c>
      <c r="C22" s="5">
        <v>4.7009768999999997</v>
      </c>
    </row>
    <row r="23" spans="1:9" x14ac:dyDescent="0.3">
      <c r="A23" s="4" t="s">
        <v>10</v>
      </c>
      <c r="B23" s="5">
        <v>9</v>
      </c>
      <c r="C23" s="5">
        <v>8.9884667599999997</v>
      </c>
    </row>
    <row r="24" spans="1:9" x14ac:dyDescent="0.3">
      <c r="A24" s="4" t="s">
        <v>41</v>
      </c>
      <c r="B24" s="5">
        <v>8</v>
      </c>
      <c r="C24" s="5">
        <v>6.4083874300000003</v>
      </c>
    </row>
    <row r="25" spans="1:9" x14ac:dyDescent="0.3">
      <c r="A25" s="4" t="s">
        <v>17</v>
      </c>
      <c r="B25" s="5">
        <v>8</v>
      </c>
      <c r="C25" s="5">
        <v>3.6848660799999999</v>
      </c>
    </row>
    <row r="26" spans="1:9" x14ac:dyDescent="0.3">
      <c r="A26" s="4" t="s">
        <v>40</v>
      </c>
      <c r="B26" s="5">
        <v>7</v>
      </c>
      <c r="C26" s="5">
        <v>4.3081325899999996</v>
      </c>
    </row>
    <row r="27" spans="1:9" x14ac:dyDescent="0.3">
      <c r="A27" s="4" t="s">
        <v>1048</v>
      </c>
      <c r="B27" s="5">
        <v>41</v>
      </c>
      <c r="C27" s="5">
        <v>28.090829760000002</v>
      </c>
    </row>
    <row r="49" spans="3:4" x14ac:dyDescent="0.3">
      <c r="C49" s="3" t="s">
        <v>1052</v>
      </c>
      <c r="D49" t="s">
        <v>1066</v>
      </c>
    </row>
    <row r="50" spans="3:4" x14ac:dyDescent="0.3">
      <c r="C50" s="4" t="s">
        <v>183</v>
      </c>
      <c r="D50" s="5">
        <v>123</v>
      </c>
    </row>
    <row r="51" spans="3:4" x14ac:dyDescent="0.3">
      <c r="C51" s="4" t="s">
        <v>385</v>
      </c>
      <c r="D51" s="5">
        <v>118</v>
      </c>
    </row>
    <row r="52" spans="3:4" x14ac:dyDescent="0.3">
      <c r="C52" s="4" t="s">
        <v>213</v>
      </c>
      <c r="D52" s="5">
        <v>111</v>
      </c>
    </row>
    <row r="53" spans="3:4" x14ac:dyDescent="0.3">
      <c r="C53" s="4" t="s">
        <v>285</v>
      </c>
      <c r="D53" s="5">
        <v>106</v>
      </c>
    </row>
    <row r="54" spans="3:4" x14ac:dyDescent="0.3">
      <c r="C54" s="4" t="s">
        <v>74</v>
      </c>
      <c r="D54" s="5">
        <v>105</v>
      </c>
    </row>
    <row r="55" spans="3:4" x14ac:dyDescent="0.3">
      <c r="C55" s="4" t="s">
        <v>1048</v>
      </c>
      <c r="D55" s="5">
        <v>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7A866-D054-4149-9724-53B467458E86}">
  <dimension ref="A4:N5"/>
  <sheetViews>
    <sheetView showGridLines="0" tabSelected="1" topLeftCell="A6" workbookViewId="0">
      <selection activeCell="H23" sqref="H23"/>
    </sheetView>
  </sheetViews>
  <sheetFormatPr baseColWidth="10" defaultRowHeight="14.4" x14ac:dyDescent="0.3"/>
  <sheetData>
    <row r="4" spans="1:14" x14ac:dyDescent="0.3">
      <c r="A4" s="9" t="s">
        <v>1070</v>
      </c>
      <c r="B4" s="10"/>
      <c r="D4" s="9" t="s">
        <v>1072</v>
      </c>
      <c r="E4" s="10"/>
      <c r="G4" s="9" t="s">
        <v>1050</v>
      </c>
      <c r="H4" s="10"/>
      <c r="J4" s="9" t="s">
        <v>1071</v>
      </c>
      <c r="K4" s="10"/>
      <c r="M4" s="15"/>
      <c r="N4" s="15"/>
    </row>
    <row r="5" spans="1:14" x14ac:dyDescent="0.3">
      <c r="A5" s="7">
        <f>COUNT(Perfiles_jugador!A2:A531)</f>
        <v>530</v>
      </c>
      <c r="B5" s="8"/>
      <c r="D5" s="13">
        <f>AVERAGE(Perfiles_jugador!F2:F531)</f>
        <v>10.630847150943397</v>
      </c>
      <c r="E5" s="14"/>
      <c r="G5" s="13">
        <f>AVERAGE(Estadisticas_jugador[rating])</f>
        <v>6.7743454955547655</v>
      </c>
      <c r="H5" s="14"/>
      <c r="J5" s="11">
        <f>SUM(Estadisticas_jugador[goals])</f>
        <v>746</v>
      </c>
      <c r="K5" s="12"/>
      <c r="M5" s="6"/>
      <c r="N5" s="6"/>
    </row>
  </sheetData>
  <mergeCells count="9">
    <mergeCell ref="M4:N4"/>
    <mergeCell ref="M5:N5"/>
    <mergeCell ref="A4:B4"/>
    <mergeCell ref="D4:E4"/>
    <mergeCell ref="G4:H4"/>
    <mergeCell ref="D5:E5"/>
    <mergeCell ref="G5:H5"/>
    <mergeCell ref="J4:K4"/>
    <mergeCell ref="J5:K5"/>
  </mergeCells>
  <pageMargins left="0.7" right="0.7" top="0.75" bottom="0.75" header="0.3" footer="0.3"/>
  <pageSetup paperSize="9" orientation="landscape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E31F42-7491-42D6-879A-D9E14EADAB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Perfiles_jugador</vt:lpstr>
      <vt:lpstr>Estadisticas_jugador</vt:lpstr>
      <vt:lpstr>ANALISIS</vt:lpstr>
      <vt:lpstr>Tablas dinámicas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Chicharro</dc:creator>
  <cp:lastModifiedBy>Alejandro Chicharro</cp:lastModifiedBy>
  <cp:lastPrinted>2026-09-29T17:13:33Z</cp:lastPrinted>
  <dcterms:created xsi:type="dcterms:W3CDTF">2026-09-28T16:09:15Z</dcterms:created>
  <dcterms:modified xsi:type="dcterms:W3CDTF">2026-09-29T17:17:06Z</dcterms:modified>
</cp:coreProperties>
</file>